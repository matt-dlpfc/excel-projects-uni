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defaultThemeVersion="166925"/>
  <mc:AlternateContent xmlns:mc="http://schemas.openxmlformats.org/markup-compatibility/2006">
    <mc:Choice Requires="x15">
      <x15ac:absPath xmlns:x15ac="http://schemas.microsoft.com/office/spreadsheetml/2010/11/ac" url="https://lut-my.sharepoint.com/personal/matteo_bulleri_student_lut_fi/Documents/Excel_lut/IBAE/Assignments/Output/"/>
    </mc:Choice>
  </mc:AlternateContent>
  <xr:revisionPtr revIDLastSave="1715" documentId="8_{275B7397-216C-4D31-8024-14BA6D3F5676}" xr6:coauthVersionLast="47" xr6:coauthVersionMax="47" xr10:uidLastSave="{211AA247-721E-41BF-B8F2-CC55EE32246E}"/>
  <bookViews>
    <workbookView xWindow="-108" yWindow="-108" windowWidth="23256" windowHeight="12576" tabRatio="851" activeTab="1" xr2:uid="{7BD71534-FE95-4B4E-ACFA-D667CF721040}"/>
  </bookViews>
  <sheets>
    <sheet name="Answers" sheetId="14" r:id="rId1"/>
    <sheet name="Inputs" sheetId="5" r:id="rId2"/>
    <sheet name="Model and budget" sheetId="6" r:id="rId3"/>
    <sheet name="Break Even output" sheetId="8" r:id="rId4"/>
    <sheet name="Sensitivity analysis" sheetId="9" r:id="rId5"/>
    <sheet name="Scenario Summary" sheetId="13" r:id="rId6"/>
    <sheet name="Output" sheetId="7" r:id="rId7"/>
    <sheet name="Calculation menu" sheetId="2" state="hidden" r:id="rId8"/>
  </sheets>
  <definedNames>
    <definedName name="account">Inputs!$C$22</definedName>
    <definedName name="book_keeping">Inputs!$N$17</definedName>
    <definedName name="Condition">'Calculation menu'!$D$2:$D$3</definedName>
    <definedName name="desired_inj_liq">'Break Even output'!$I$2</definedName>
    <definedName name="fridge_change">Inputs!$D$10</definedName>
    <definedName name="icf_1">'Calculation menu'!$I$26:$T$26</definedName>
    <definedName name="icf_2">'Calculation menu'!$I$29:$T$29</definedName>
    <definedName name="icf_3">'Calculation menu'!$I$32:$T$32</definedName>
    <definedName name="index_month">'Calculation menu'!$A$2:$A$13</definedName>
    <definedName name="inj_liq">'Model and budget'!$C$49:$N$49</definedName>
    <definedName name="injected_liquidity">Inputs!$C$28</definedName>
    <definedName name="insert">Inputs!$C$23</definedName>
    <definedName name="insurance">Inputs!$N$23</definedName>
    <definedName name="liq_after_pincr">'Model and budget'!$C$64:$N$64</definedName>
    <definedName name="liq_p_incr">'Model and budget'!$C$62:$N$62</definedName>
    <definedName name="liquidity_after">'Model and budget'!$C$50:$N$50</definedName>
    <definedName name="liquidity_before">'Model and budget'!$C$48:$N$48</definedName>
    <definedName name="Month">'Calculation menu'!$B$2:$B$13</definedName>
    <definedName name="old_rents">Inputs!$N$24</definedName>
    <definedName name="p_incr">'Sensitivity analysis'!$G$1</definedName>
    <definedName name="renovation_duration">'Calculation menu'!$F$2:$F$4</definedName>
    <definedName name="renovation_ending">'Calculation menu'!$A$19</definedName>
    <definedName name="renovation_start">Inputs!$K$10</definedName>
    <definedName name="rent1">Inputs!$G$5</definedName>
    <definedName name="rent1_start">Inputs!$D$5</definedName>
    <definedName name="rent2">Inputs!$G$15</definedName>
    <definedName name="rent2_start">Inputs!$D$15</definedName>
    <definedName name="rent3">Inputs!$N$5</definedName>
    <definedName name="rent3_start">'Calculation menu'!$A$18</definedName>
    <definedName name="renting_delay">'Calculation menu'!$F$7:$F$9</definedName>
    <definedName name="renting_delay_index">'Calculation menu'!$G$7:$G$9</definedName>
    <definedName name="Scenario">Output!$C$5:$F$13</definedName>
    <definedName name="sum_inj_liq">'Break Even output'!$I$1</definedName>
    <definedName name="taxes">Inputs!$N$18</definedName>
    <definedName name="tenants1">Inputs!$C$4</definedName>
    <definedName name="tenants2">Inputs!$C$14</definedName>
    <definedName name="tenants3">Inputs!$J$4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49" i="6" l="1"/>
  <c r="C49" i="6"/>
  <c r="N10" i="5"/>
  <c r="C4" i="6"/>
  <c r="G19" i="2"/>
  <c r="I41" i="2" a="1"/>
  <c r="I41" i="2" s="1"/>
  <c r="A10" i="8"/>
  <c r="A11" i="8"/>
  <c r="A12" i="8"/>
  <c r="A13" i="8"/>
  <c r="A14" i="8"/>
  <c r="A15" i="8"/>
  <c r="A16" i="8"/>
  <c r="A17" i="8"/>
  <c r="A18" i="8"/>
  <c r="A19" i="8"/>
  <c r="A20" i="8"/>
  <c r="A21" i="8"/>
  <c r="A22" i="8"/>
  <c r="A23" i="8"/>
  <c r="A24" i="8"/>
  <c r="A25" i="8"/>
  <c r="A26" i="8"/>
  <c r="A27" i="8"/>
  <c r="A28" i="8"/>
  <c r="A29" i="8"/>
  <c r="A30" i="8"/>
  <c r="A31" i="8"/>
  <c r="A32" i="8"/>
  <c r="A33" i="8"/>
  <c r="A34" i="8"/>
  <c r="A35" i="8"/>
  <c r="A36" i="8"/>
  <c r="A37" i="8"/>
  <c r="A38" i="8"/>
  <c r="A39" i="8"/>
  <c r="A40" i="8"/>
  <c r="A41" i="8"/>
  <c r="A42" i="8"/>
  <c r="A43" i="8"/>
  <c r="A44" i="8"/>
  <c r="A45" i="8"/>
  <c r="A46" i="8"/>
  <c r="A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84" i="8"/>
  <c r="A85" i="8"/>
  <c r="A86" i="8"/>
  <c r="A87" i="8"/>
  <c r="A88" i="8"/>
  <c r="A89" i="8"/>
  <c r="A90" i="8"/>
  <c r="A91" i="8"/>
  <c r="A92" i="8"/>
  <c r="A93" i="8"/>
  <c r="A94" i="8"/>
  <c r="A95" i="8"/>
  <c r="A96" i="8"/>
  <c r="A97" i="8"/>
  <c r="A98" i="8"/>
  <c r="A99" i="8"/>
  <c r="A100" i="8"/>
  <c r="A101" i="8"/>
  <c r="A102" i="8"/>
  <c r="A103" i="8"/>
  <c r="A104" i="8"/>
  <c r="A105" i="8"/>
  <c r="A106" i="8"/>
  <c r="A107" i="8"/>
  <c r="A108" i="8"/>
  <c r="A109" i="8"/>
  <c r="A110" i="8"/>
  <c r="A111" i="8"/>
  <c r="A112" i="8"/>
  <c r="A113" i="8"/>
  <c r="A114" i="8"/>
  <c r="A115" i="8"/>
  <c r="A116" i="8"/>
  <c r="A117" i="8"/>
  <c r="A118" i="8"/>
  <c r="A119" i="8"/>
  <c r="A120" i="8"/>
  <c r="A121" i="8"/>
  <c r="A122" i="8"/>
  <c r="A123" i="8"/>
  <c r="A124" i="8"/>
  <c r="A125" i="8"/>
  <c r="A126" i="8"/>
  <c r="A127" i="8"/>
  <c r="A128" i="8"/>
  <c r="A129" i="8"/>
  <c r="A130" i="8"/>
  <c r="A131" i="8"/>
  <c r="A132" i="8"/>
  <c r="A133" i="8"/>
  <c r="A134" i="8"/>
  <c r="A135" i="8"/>
  <c r="A136" i="8"/>
  <c r="A137" i="8"/>
  <c r="A138" i="8"/>
  <c r="A139" i="8"/>
  <c r="A140" i="8"/>
  <c r="A141" i="8"/>
  <c r="A142" i="8"/>
  <c r="A143" i="8"/>
  <c r="A144" i="8"/>
  <c r="A145" i="8"/>
  <c r="A146" i="8"/>
  <c r="A147" i="8"/>
  <c r="A148" i="8"/>
  <c r="A149" i="8"/>
  <c r="A150" i="8"/>
  <c r="A151" i="8"/>
  <c r="A152" i="8"/>
  <c r="A153" i="8"/>
  <c r="A154" i="8"/>
  <c r="A155" i="8"/>
  <c r="A156" i="8"/>
  <c r="A157" i="8"/>
  <c r="A158" i="8"/>
  <c r="A159" i="8"/>
  <c r="A160" i="8"/>
  <c r="A161" i="8"/>
  <c r="A162" i="8"/>
  <c r="A163" i="8"/>
  <c r="A164" i="8"/>
  <c r="A165" i="8"/>
  <c r="A166" i="8"/>
  <c r="A167"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D16" i="5"/>
  <c r="D17" i="5" s="1"/>
  <c r="D6" i="5"/>
  <c r="D7" i="5" s="1"/>
  <c r="A3" i="8"/>
  <c r="G1" i="9"/>
  <c r="C55" i="6" s="1"/>
  <c r="D55" i="6" s="1"/>
  <c r="E55" i="6" s="1"/>
  <c r="F55" i="6" s="1"/>
  <c r="G55" i="6" s="1"/>
  <c r="H55" i="6" s="1"/>
  <c r="I55" i="6" s="1"/>
  <c r="J55" i="6" s="1"/>
  <c r="K55" i="6" s="1"/>
  <c r="L55" i="6" s="1"/>
  <c r="M55" i="6" s="1"/>
  <c r="N55" i="6" s="1"/>
  <c r="G2" i="9"/>
  <c r="I9" i="6" s="1"/>
  <c r="C5" i="9" a="1"/>
  <c r="C5" i="9" s="1"/>
  <c r="A4" i="8"/>
  <c r="A5" i="8" s="1"/>
  <c r="A6" i="8" s="1"/>
  <c r="A7" i="8" s="1"/>
  <c r="A8" i="8" s="1"/>
  <c r="A9" i="8" s="1"/>
  <c r="C61" i="6"/>
  <c r="C47" i="6"/>
  <c r="L20" i="5"/>
  <c r="L21" i="5"/>
  <c r="L22" i="5"/>
  <c r="E5" i="5"/>
  <c r="E6" i="5"/>
  <c r="E7" i="5"/>
  <c r="E8" i="5"/>
  <c r="E9" i="5"/>
  <c r="E10" i="5"/>
  <c r="E15" i="5"/>
  <c r="E16" i="5"/>
  <c r="E17" i="5"/>
  <c r="E18" i="5"/>
  <c r="E19" i="5"/>
  <c r="L5" i="5"/>
  <c r="L6" i="5"/>
  <c r="L7" i="5"/>
  <c r="L8" i="5"/>
  <c r="L9" i="5"/>
  <c r="L10" i="5"/>
  <c r="L15" i="5"/>
  <c r="L16" i="5"/>
  <c r="L17" i="5"/>
  <c r="L18" i="5"/>
  <c r="L19" i="5"/>
  <c r="L23" i="5"/>
  <c r="L24" i="5"/>
  <c r="B37" i="6"/>
  <c r="B38" i="6"/>
  <c r="B39" i="6"/>
  <c r="B33" i="6"/>
  <c r="B34" i="6"/>
  <c r="B35" i="6"/>
  <c r="B36" i="6"/>
  <c r="B40" i="6"/>
  <c r="B41" i="6"/>
  <c r="B32" i="6"/>
  <c r="C31" i="6" a="1"/>
  <c r="C31" i="6" s="1"/>
  <c r="B26" i="6"/>
  <c r="B28" i="6"/>
  <c r="C22" i="6" a="1"/>
  <c r="C22" i="6" s="1"/>
  <c r="B23" i="6"/>
  <c r="B24" i="6"/>
  <c r="B25" i="6"/>
  <c r="B27" i="6"/>
  <c r="C13" i="6" a="1"/>
  <c r="C13" i="6" s="1"/>
  <c r="B14" i="6"/>
  <c r="B15" i="6"/>
  <c r="B16" i="6"/>
  <c r="B17" i="6"/>
  <c r="B18" i="6"/>
  <c r="B5" i="6"/>
  <c r="B6" i="6"/>
  <c r="B7" i="6"/>
  <c r="B8" i="6"/>
  <c r="B9" i="6"/>
  <c r="B4" i="6"/>
  <c r="C1" i="6" a="1"/>
  <c r="C1" i="6" s="1"/>
  <c r="C3" i="6" a="1"/>
  <c r="C3" i="6" s="1"/>
  <c r="C56" i="6" l="1"/>
  <c r="A19" i="2"/>
  <c r="G18" i="2" s="1"/>
  <c r="A18" i="2" s="1"/>
  <c r="F6" i="6"/>
  <c r="C33" i="6"/>
  <c r="I48" i="2" s="1"/>
  <c r="F27" i="6"/>
  <c r="H9" i="6"/>
  <c r="N46" i="2" s="1"/>
  <c r="N54" i="2" s="1"/>
  <c r="G15" i="6"/>
  <c r="F8" i="6"/>
  <c r="L43" i="2" s="1"/>
  <c r="E14" i="6"/>
  <c r="E57" i="6" s="1"/>
  <c r="F9" i="6"/>
  <c r="L46" i="2" s="1"/>
  <c r="L54" i="2" s="1"/>
  <c r="N4" i="6"/>
  <c r="N56" i="6" s="1"/>
  <c r="K5" i="6"/>
  <c r="M18" i="6"/>
  <c r="H4" i="6"/>
  <c r="H56" i="6" s="1"/>
  <c r="N17" i="6"/>
  <c r="N8" i="6"/>
  <c r="E4" i="6"/>
  <c r="E56" i="6" s="1"/>
  <c r="J18" i="6"/>
  <c r="C15" i="6"/>
  <c r="J33" i="6"/>
  <c r="P48" i="2" s="1"/>
  <c r="F36" i="6"/>
  <c r="D26" i="6"/>
  <c r="M38" i="6"/>
  <c r="I8" i="6"/>
  <c r="N5" i="6"/>
  <c r="E18" i="6"/>
  <c r="J15" i="6"/>
  <c r="N41" i="6"/>
  <c r="E38" i="6"/>
  <c r="K32" i="6"/>
  <c r="Q47" i="2" s="1"/>
  <c r="N9" i="6"/>
  <c r="T46" i="2" s="1"/>
  <c r="T54" i="2" s="1"/>
  <c r="I17" i="6"/>
  <c r="K9" i="6"/>
  <c r="Q46" i="2" s="1"/>
  <c r="Q54" i="2" s="1"/>
  <c r="J7" i="6"/>
  <c r="N6" i="6"/>
  <c r="F17" i="6"/>
  <c r="J16" i="6"/>
  <c r="J35" i="6"/>
  <c r="P50" i="2" s="1"/>
  <c r="I37" i="6"/>
  <c r="M7" i="6"/>
  <c r="F5" i="6"/>
  <c r="M16" i="6"/>
  <c r="O46" i="2"/>
  <c r="O54" i="2" s="1"/>
  <c r="E7" i="6"/>
  <c r="I6" i="6"/>
  <c r="M14" i="6"/>
  <c r="M57" i="6" s="1"/>
  <c r="E16" i="6"/>
  <c r="N34" i="6"/>
  <c r="T49" i="2" s="1"/>
  <c r="F41" i="6"/>
  <c r="J14" i="6"/>
  <c r="J57" i="6" s="1"/>
  <c r="F34" i="6"/>
  <c r="L49" i="2" s="1"/>
  <c r="J40" i="6"/>
  <c r="P52" i="2" s="1"/>
  <c r="I27" i="6"/>
  <c r="I39" i="6"/>
  <c r="E15" i="6"/>
  <c r="N36" i="6"/>
  <c r="N27" i="6"/>
  <c r="M26" i="6"/>
  <c r="M9" i="6"/>
  <c r="S46" i="2" s="1"/>
  <c r="S54" i="2" s="1"/>
  <c r="E9" i="6"/>
  <c r="K46" i="2" s="1"/>
  <c r="K54" i="2" s="1"/>
  <c r="H8" i="6"/>
  <c r="L7" i="6"/>
  <c r="D7" i="6"/>
  <c r="G4" i="6"/>
  <c r="G56" i="6" s="1"/>
  <c r="M5" i="6"/>
  <c r="E5" i="6"/>
  <c r="H6" i="6"/>
  <c r="L18" i="6"/>
  <c r="D18" i="6"/>
  <c r="H17" i="6"/>
  <c r="L14" i="6"/>
  <c r="L57" i="6" s="1"/>
  <c r="D14" i="6"/>
  <c r="D57" i="6" s="1"/>
  <c r="I15" i="6"/>
  <c r="L16" i="6"/>
  <c r="D16" i="6"/>
  <c r="H27" i="6"/>
  <c r="L26" i="6"/>
  <c r="C26" i="6"/>
  <c r="J32" i="6"/>
  <c r="P47" i="2" s="1"/>
  <c r="M41" i="6"/>
  <c r="E41" i="6"/>
  <c r="I40" i="6"/>
  <c r="O52" i="2" s="1"/>
  <c r="M36" i="6"/>
  <c r="S51" i="2" s="1"/>
  <c r="E36" i="6"/>
  <c r="I35" i="6"/>
  <c r="O50" i="2" s="1"/>
  <c r="M34" i="6"/>
  <c r="S49" i="2" s="1"/>
  <c r="E34" i="6"/>
  <c r="K49" i="2" s="1"/>
  <c r="I33" i="6"/>
  <c r="O48" i="2" s="1"/>
  <c r="H39" i="6"/>
  <c r="L38" i="6"/>
  <c r="D38" i="6"/>
  <c r="H37" i="6"/>
  <c r="L9" i="6"/>
  <c r="R46" i="2" s="1"/>
  <c r="R54" i="2" s="1"/>
  <c r="D9" i="6"/>
  <c r="J46" i="2" s="1"/>
  <c r="J54" i="2" s="1"/>
  <c r="G8" i="6"/>
  <c r="K7" i="6"/>
  <c r="C7" i="6"/>
  <c r="F4" i="6"/>
  <c r="F56" i="6" s="1"/>
  <c r="L5" i="6"/>
  <c r="D5" i="6"/>
  <c r="G6" i="6"/>
  <c r="K18" i="6"/>
  <c r="C18" i="6"/>
  <c r="G17" i="6"/>
  <c r="K14" i="6"/>
  <c r="K57" i="6" s="1"/>
  <c r="C14" i="6"/>
  <c r="H15" i="6"/>
  <c r="K16" i="6"/>
  <c r="C16" i="6"/>
  <c r="G27" i="6"/>
  <c r="K26" i="6"/>
  <c r="I32" i="6"/>
  <c r="O47" i="2" s="1"/>
  <c r="L41" i="6"/>
  <c r="D41" i="6"/>
  <c r="H40" i="6"/>
  <c r="N52" i="2" s="1"/>
  <c r="L36" i="6"/>
  <c r="D36" i="6"/>
  <c r="H35" i="6"/>
  <c r="N50" i="2" s="1"/>
  <c r="L34" i="6"/>
  <c r="R49" i="2" s="1"/>
  <c r="D34" i="6"/>
  <c r="J49" i="2" s="1"/>
  <c r="H33" i="6"/>
  <c r="N48" i="2" s="1"/>
  <c r="G39" i="6"/>
  <c r="K38" i="6"/>
  <c r="C38" i="6"/>
  <c r="G37" i="6"/>
  <c r="J26" i="6"/>
  <c r="H32" i="6"/>
  <c r="N47" i="2" s="1"/>
  <c r="K41" i="6"/>
  <c r="C41" i="6"/>
  <c r="G40" i="6"/>
  <c r="M52" i="2" s="1"/>
  <c r="K36" i="6"/>
  <c r="C36" i="6"/>
  <c r="G35" i="6"/>
  <c r="M50" i="2" s="1"/>
  <c r="K34" i="6"/>
  <c r="Q49" i="2" s="1"/>
  <c r="C34" i="6"/>
  <c r="I49" i="2" s="1"/>
  <c r="G33" i="6"/>
  <c r="M48" i="2" s="1"/>
  <c r="N39" i="6"/>
  <c r="F39" i="6"/>
  <c r="J38" i="6"/>
  <c r="N37" i="6"/>
  <c r="F37" i="6"/>
  <c r="J9" i="6"/>
  <c r="P46" i="2" s="1"/>
  <c r="P54" i="2" s="1"/>
  <c r="M8" i="6"/>
  <c r="E8" i="6"/>
  <c r="K43" i="2" s="1"/>
  <c r="I7" i="6"/>
  <c r="L4" i="6"/>
  <c r="L56" i="6" s="1"/>
  <c r="D4" i="6"/>
  <c r="D56" i="6" s="1"/>
  <c r="J5" i="6"/>
  <c r="M6" i="6"/>
  <c r="E6" i="6"/>
  <c r="I18" i="6"/>
  <c r="M17" i="6"/>
  <c r="E17" i="6"/>
  <c r="I14" i="6"/>
  <c r="I57" i="6" s="1"/>
  <c r="N15" i="6"/>
  <c r="F15" i="6"/>
  <c r="I16" i="6"/>
  <c r="M27" i="6"/>
  <c r="E27" i="6"/>
  <c r="I26" i="6"/>
  <c r="E26" i="6"/>
  <c r="C32" i="6"/>
  <c r="I47" i="2" s="1"/>
  <c r="G32" i="6"/>
  <c r="M47" i="2" s="1"/>
  <c r="J41" i="6"/>
  <c r="N40" i="6"/>
  <c r="T52" i="2" s="1"/>
  <c r="F40" i="6"/>
  <c r="L52" i="2" s="1"/>
  <c r="J36" i="6"/>
  <c r="N35" i="6"/>
  <c r="T50" i="2" s="1"/>
  <c r="F35" i="6"/>
  <c r="L50" i="2" s="1"/>
  <c r="J34" i="6"/>
  <c r="P49" i="2" s="1"/>
  <c r="N33" i="6"/>
  <c r="T48" i="2" s="1"/>
  <c r="F33" i="6"/>
  <c r="L48" i="2" s="1"/>
  <c r="M39" i="6"/>
  <c r="E39" i="6"/>
  <c r="I38" i="6"/>
  <c r="M37" i="6"/>
  <c r="E37" i="6"/>
  <c r="L8" i="6"/>
  <c r="D8" i="6"/>
  <c r="H7" i="6"/>
  <c r="K4" i="6"/>
  <c r="K56" i="6" s="1"/>
  <c r="M4" i="6"/>
  <c r="M56" i="6" s="1"/>
  <c r="I5" i="6"/>
  <c r="L6" i="6"/>
  <c r="D6" i="6"/>
  <c r="H18" i="6"/>
  <c r="L17" i="6"/>
  <c r="D17" i="6"/>
  <c r="H14" i="6"/>
  <c r="H57" i="6" s="1"/>
  <c r="M15" i="6"/>
  <c r="H16" i="6"/>
  <c r="L27" i="6"/>
  <c r="D27" i="6"/>
  <c r="H26" i="6"/>
  <c r="N32" i="6"/>
  <c r="T47" i="2" s="1"/>
  <c r="F32" i="6"/>
  <c r="L47" i="2" s="1"/>
  <c r="I41" i="6"/>
  <c r="M40" i="6"/>
  <c r="S52" i="2" s="1"/>
  <c r="E40" i="6"/>
  <c r="K52" i="2" s="1"/>
  <c r="I36" i="6"/>
  <c r="O51" i="2" s="1"/>
  <c r="M35" i="6"/>
  <c r="S50" i="2" s="1"/>
  <c r="E35" i="6"/>
  <c r="K50" i="2" s="1"/>
  <c r="I34" i="6"/>
  <c r="O49" i="2" s="1"/>
  <c r="M33" i="6"/>
  <c r="S48" i="2" s="1"/>
  <c r="E33" i="6"/>
  <c r="K48" i="2" s="1"/>
  <c r="L39" i="6"/>
  <c r="D39" i="6"/>
  <c r="H38" i="6"/>
  <c r="L37" i="6"/>
  <c r="D37" i="6"/>
  <c r="K8" i="6"/>
  <c r="C8" i="6"/>
  <c r="G7" i="6"/>
  <c r="J4" i="6"/>
  <c r="J56" i="6" s="1"/>
  <c r="H5" i="6"/>
  <c r="K6" i="6"/>
  <c r="C6" i="6"/>
  <c r="G18" i="6"/>
  <c r="K17" i="6"/>
  <c r="C17" i="6"/>
  <c r="G14" i="6"/>
  <c r="G57" i="6" s="1"/>
  <c r="L15" i="6"/>
  <c r="D15" i="6"/>
  <c r="G16" i="6"/>
  <c r="K27" i="6"/>
  <c r="C27" i="6"/>
  <c r="G26" i="6"/>
  <c r="M32" i="6"/>
  <c r="S47" i="2" s="1"/>
  <c r="E32" i="6"/>
  <c r="K47" i="2" s="1"/>
  <c r="H41" i="6"/>
  <c r="L40" i="6"/>
  <c r="R52" i="2" s="1"/>
  <c r="D40" i="6"/>
  <c r="J52" i="2" s="1"/>
  <c r="H36" i="6"/>
  <c r="L35" i="6"/>
  <c r="R50" i="2" s="1"/>
  <c r="D35" i="6"/>
  <c r="J50" i="2" s="1"/>
  <c r="H34" i="6"/>
  <c r="N49" i="2" s="1"/>
  <c r="L33" i="6"/>
  <c r="R48" i="2" s="1"/>
  <c r="D33" i="6"/>
  <c r="J48" i="2" s="1"/>
  <c r="K39" i="6"/>
  <c r="C39" i="6"/>
  <c r="G38" i="6"/>
  <c r="K37" i="6"/>
  <c r="C37" i="6"/>
  <c r="C9" i="6"/>
  <c r="G9" i="6"/>
  <c r="M46" i="2" s="1"/>
  <c r="M54" i="2" s="1"/>
  <c r="J8" i="6"/>
  <c r="N7" i="6"/>
  <c r="F7" i="6"/>
  <c r="I4" i="6"/>
  <c r="I56" i="6" s="1"/>
  <c r="C5" i="6"/>
  <c r="G5" i="6"/>
  <c r="J6" i="6"/>
  <c r="N18" i="6"/>
  <c r="F18" i="6"/>
  <c r="J17" i="6"/>
  <c r="N14" i="6"/>
  <c r="N57" i="6" s="1"/>
  <c r="F14" i="6"/>
  <c r="F57" i="6" s="1"/>
  <c r="K15" i="6"/>
  <c r="N16" i="6"/>
  <c r="F16" i="6"/>
  <c r="J27" i="6"/>
  <c r="N26" i="6"/>
  <c r="F26" i="6"/>
  <c r="L32" i="6"/>
  <c r="R47" i="2" s="1"/>
  <c r="D32" i="6"/>
  <c r="J47" i="2" s="1"/>
  <c r="G41" i="6"/>
  <c r="K40" i="6"/>
  <c r="Q52" i="2" s="1"/>
  <c r="C40" i="6"/>
  <c r="I52" i="2" s="1"/>
  <c r="G36" i="6"/>
  <c r="M51" i="2" s="1"/>
  <c r="K35" i="6"/>
  <c r="Q50" i="2" s="1"/>
  <c r="C35" i="6"/>
  <c r="I50" i="2" s="1"/>
  <c r="G34" i="6"/>
  <c r="M49" i="2" s="1"/>
  <c r="K33" i="6"/>
  <c r="Q48" i="2" s="1"/>
  <c r="J39" i="6"/>
  <c r="N38" i="6"/>
  <c r="F38" i="6"/>
  <c r="J37" i="6"/>
  <c r="I46" i="2" l="1"/>
  <c r="I54" i="2" s="1"/>
  <c r="E28" i="6"/>
  <c r="K45" i="2" s="1"/>
  <c r="M28" i="6"/>
  <c r="S45" i="2" s="1"/>
  <c r="N28" i="6"/>
  <c r="T45" i="2" s="1"/>
  <c r="G28" i="6"/>
  <c r="M45" i="2" s="1"/>
  <c r="I28" i="6"/>
  <c r="O45" i="2" s="1"/>
  <c r="J28" i="6"/>
  <c r="P45" i="2" s="1"/>
  <c r="K6" i="5"/>
  <c r="C24" i="6" s="1"/>
  <c r="I23" i="6"/>
  <c r="I58" i="6" s="1"/>
  <c r="N23" i="6"/>
  <c r="N58" i="6" s="1"/>
  <c r="K51" i="2"/>
  <c r="N43" i="2"/>
  <c r="P51" i="2"/>
  <c r="S43" i="2"/>
  <c r="L51" i="2"/>
  <c r="N51" i="2"/>
  <c r="I43" i="2"/>
  <c r="Q43" i="2"/>
  <c r="J43" i="2"/>
  <c r="I51" i="2"/>
  <c r="J51" i="2"/>
  <c r="M43" i="2"/>
  <c r="T51" i="2"/>
  <c r="P43" i="2"/>
  <c r="R43" i="2"/>
  <c r="Q51" i="2"/>
  <c r="R51" i="2"/>
  <c r="O43" i="2"/>
  <c r="T43" i="2"/>
  <c r="T42" i="2"/>
  <c r="O42" i="2"/>
  <c r="N42" i="2"/>
  <c r="R42" i="2"/>
  <c r="K42" i="2"/>
  <c r="M42" i="2"/>
  <c r="I42" i="2"/>
  <c r="L42" i="2"/>
  <c r="Q42" i="2"/>
  <c r="P42" i="2"/>
  <c r="S42" i="2"/>
  <c r="J42" i="2"/>
  <c r="C57" i="6"/>
  <c r="I30" i="2" a="1"/>
  <c r="I27" i="2" a="1"/>
  <c r="C23" i="6"/>
  <c r="D23" i="6"/>
  <c r="D58" i="6" s="1"/>
  <c r="M23" i="6"/>
  <c r="M58" i="6" s="1"/>
  <c r="E23" i="6"/>
  <c r="E58" i="6" s="1"/>
  <c r="J23" i="6"/>
  <c r="J58" i="6" s="1"/>
  <c r="L23" i="6"/>
  <c r="L58" i="6" s="1"/>
  <c r="H23" i="6"/>
  <c r="H58" i="6" s="1"/>
  <c r="K23" i="6"/>
  <c r="K58" i="6" s="1"/>
  <c r="G23" i="6"/>
  <c r="G58" i="6" s="1"/>
  <c r="F23" i="6"/>
  <c r="F58" i="6" s="1"/>
  <c r="E19" i="6"/>
  <c r="H10" i="6"/>
  <c r="M19" i="6"/>
  <c r="N10" i="6"/>
  <c r="F19" i="6"/>
  <c r="J19" i="6"/>
  <c r="I10" i="6"/>
  <c r="N19" i="6"/>
  <c r="C19" i="6"/>
  <c r="F10" i="6"/>
  <c r="K19" i="6"/>
  <c r="E10" i="6"/>
  <c r="C42" i="6"/>
  <c r="K42" i="6"/>
  <c r="D42" i="6"/>
  <c r="C10" i="6"/>
  <c r="D19" i="6"/>
  <c r="G10" i="6"/>
  <c r="L42" i="6"/>
  <c r="G19" i="6"/>
  <c r="J10" i="6"/>
  <c r="M10" i="6"/>
  <c r="L19" i="6"/>
  <c r="H19" i="6"/>
  <c r="K10" i="6"/>
  <c r="H42" i="6"/>
  <c r="I42" i="6"/>
  <c r="E42" i="6"/>
  <c r="D10" i="6"/>
  <c r="J42" i="6"/>
  <c r="M42" i="6"/>
  <c r="F42" i="6"/>
  <c r="I19" i="6"/>
  <c r="L10" i="6"/>
  <c r="N42" i="6"/>
  <c r="G42" i="6"/>
  <c r="G24" i="6" l="1"/>
  <c r="K7" i="5"/>
  <c r="N25" i="6" s="1"/>
  <c r="T44" i="2" s="1"/>
  <c r="T56" i="2" s="1"/>
  <c r="F28" i="6"/>
  <c r="L45" i="2" s="1"/>
  <c r="L28" i="6"/>
  <c r="R45" i="2" s="1"/>
  <c r="H28" i="6"/>
  <c r="N45" i="2" s="1"/>
  <c r="K28" i="6"/>
  <c r="Q45" i="2" s="1"/>
  <c r="C28" i="6"/>
  <c r="I45" i="2" s="1"/>
  <c r="D28" i="6"/>
  <c r="J45" i="2" s="1"/>
  <c r="J24" i="6"/>
  <c r="L24" i="6"/>
  <c r="D24" i="6"/>
  <c r="I24" i="6"/>
  <c r="E24" i="6"/>
  <c r="K24" i="6"/>
  <c r="F24" i="6"/>
  <c r="H24" i="6"/>
  <c r="M24" i="6"/>
  <c r="N24" i="6"/>
  <c r="I27" i="2"/>
  <c r="I26" i="2" s="1"/>
  <c r="M26" i="2"/>
  <c r="N26" i="2"/>
  <c r="J26" i="2"/>
  <c r="K26" i="2"/>
  <c r="S26" i="2"/>
  <c r="O26" i="2"/>
  <c r="R26" i="2"/>
  <c r="P26" i="2"/>
  <c r="Q26" i="2"/>
  <c r="L26" i="2"/>
  <c r="T26" i="2"/>
  <c r="I30" i="2"/>
  <c r="I29" i="2" s="1"/>
  <c r="J29" i="2"/>
  <c r="R29" i="2"/>
  <c r="K29" i="2"/>
  <c r="S29" i="2"/>
  <c r="P29" i="2"/>
  <c r="L29" i="2"/>
  <c r="T29" i="2"/>
  <c r="O29" i="2"/>
  <c r="M29" i="2"/>
  <c r="N29" i="2"/>
  <c r="Q29" i="2"/>
  <c r="C58" i="6"/>
  <c r="C60" i="6" s="1"/>
  <c r="D25" i="6" l="1"/>
  <c r="J44" i="2" s="1"/>
  <c r="J56" i="2" s="1"/>
  <c r="M25" i="6"/>
  <c r="S44" i="2" s="1"/>
  <c r="S56" i="2" s="1"/>
  <c r="H25" i="6"/>
  <c r="N44" i="2" s="1"/>
  <c r="N56" i="2" s="1"/>
  <c r="I25" i="6"/>
  <c r="O44" i="2" s="1"/>
  <c r="O56" i="2" s="1"/>
  <c r="L25" i="6"/>
  <c r="R44" i="2" s="1"/>
  <c r="R56" i="2" s="1"/>
  <c r="G25" i="6"/>
  <c r="M44" i="2" s="1"/>
  <c r="M56" i="2" s="1"/>
  <c r="F25" i="6"/>
  <c r="L36" i="2" s="1"/>
  <c r="J25" i="6"/>
  <c r="P44" i="2" s="1"/>
  <c r="P56" i="2" s="1"/>
  <c r="K25" i="6"/>
  <c r="Q44" i="2" s="1"/>
  <c r="Q56" i="2" s="1"/>
  <c r="E25" i="6"/>
  <c r="K36" i="2" s="1"/>
  <c r="C25" i="6"/>
  <c r="I44" i="2" s="1"/>
  <c r="I56" i="2" s="1"/>
  <c r="I33" i="2" a="1"/>
  <c r="L32" i="2" s="1"/>
  <c r="N36" i="2"/>
  <c r="T36" i="2"/>
  <c r="I60" i="6"/>
  <c r="O36" i="2"/>
  <c r="R36" i="2"/>
  <c r="M60" i="6"/>
  <c r="N60" i="6"/>
  <c r="N29" i="6"/>
  <c r="N46" i="6" s="1"/>
  <c r="F60" i="6"/>
  <c r="F29" i="6"/>
  <c r="F46" i="6" s="1"/>
  <c r="L60" i="6"/>
  <c r="I29" i="6"/>
  <c r="I46" i="6" s="1"/>
  <c r="H29" i="6"/>
  <c r="H46" i="6" s="1"/>
  <c r="S36" i="2" l="1"/>
  <c r="M29" i="6"/>
  <c r="M46" i="6" s="1"/>
  <c r="J36" i="2"/>
  <c r="E29" i="6"/>
  <c r="E46" i="6" s="1"/>
  <c r="E60" i="6"/>
  <c r="G60" i="6"/>
  <c r="M36" i="2"/>
  <c r="J60" i="6"/>
  <c r="J29" i="6"/>
  <c r="J46" i="6" s="1"/>
  <c r="G29" i="6"/>
  <c r="G46" i="6" s="1"/>
  <c r="L44" i="2"/>
  <c r="L56" i="2" s="1"/>
  <c r="H60" i="6"/>
  <c r="K44" i="2"/>
  <c r="K56" i="2" s="1"/>
  <c r="I36" i="2"/>
  <c r="C29" i="6"/>
  <c r="C46" i="6" s="1"/>
  <c r="C48" i="6" s="1"/>
  <c r="Q36" i="2"/>
  <c r="K60" i="6"/>
  <c r="D29" i="6"/>
  <c r="D46" i="6" s="1"/>
  <c r="D60" i="6"/>
  <c r="P36" i="2"/>
  <c r="L29" i="6"/>
  <c r="L46" i="6" s="1"/>
  <c r="K29" i="6"/>
  <c r="K46" i="6" s="1"/>
  <c r="J32" i="2"/>
  <c r="P32" i="2"/>
  <c r="O32" i="2"/>
  <c r="N32" i="2"/>
  <c r="T32" i="2"/>
  <c r="S32" i="2"/>
  <c r="K32" i="2"/>
  <c r="M32" i="2"/>
  <c r="R32" i="2"/>
  <c r="I33" i="2"/>
  <c r="I32" i="2" s="1"/>
  <c r="Q32" i="2"/>
  <c r="E62" i="6" l="1"/>
  <c r="L62" i="6"/>
  <c r="K62" i="6"/>
  <c r="F62" i="6"/>
  <c r="C63" i="6"/>
  <c r="I62" i="6"/>
  <c r="D62" i="6"/>
  <c r="G62" i="6"/>
  <c r="C62" i="6"/>
  <c r="H62" i="6"/>
  <c r="N62" i="6"/>
  <c r="J62" i="6"/>
  <c r="M62" i="6"/>
  <c r="C50" i="6"/>
  <c r="F48" i="6"/>
  <c r="D48" i="6"/>
  <c r="J48" i="6"/>
  <c r="M48" i="6"/>
  <c r="G48" i="6"/>
  <c r="K48" i="6"/>
  <c r="N48" i="6"/>
  <c r="H48" i="6"/>
  <c r="L48" i="6"/>
  <c r="I48" i="6"/>
  <c r="E48" i="6"/>
  <c r="I25" i="2" a="1"/>
  <c r="I25" i="2" s="1"/>
  <c r="I38" i="2" s="1"/>
  <c r="D50" i="6" l="1"/>
  <c r="E49" i="6" s="1"/>
  <c r="C64" i="6"/>
  <c r="D63" i="6" s="1"/>
  <c r="D64" i="6" s="1"/>
  <c r="E63" i="6" s="1"/>
  <c r="K38" i="2"/>
  <c r="S38" i="2"/>
  <c r="R38" i="2"/>
  <c r="T38" i="2"/>
  <c r="J38" i="2"/>
  <c r="M38" i="2"/>
  <c r="L38" i="2"/>
  <c r="Q38" i="2"/>
  <c r="P38" i="2"/>
  <c r="O38" i="2"/>
  <c r="N38" i="2"/>
  <c r="E64" i="6" l="1"/>
  <c r="F63" i="6" s="1"/>
  <c r="F64" i="6" s="1"/>
  <c r="G63" i="6" s="1"/>
  <c r="E50" i="6"/>
  <c r="F49" i="6" s="1"/>
  <c r="G64" i="6" l="1"/>
  <c r="H63" i="6" s="1"/>
  <c r="H64" i="6" l="1"/>
  <c r="I63" i="6" s="1"/>
  <c r="I64" i="6" s="1"/>
  <c r="J63" i="6" s="1"/>
  <c r="J64" i="6" s="1"/>
  <c r="K63" i="6" s="1"/>
  <c r="K64" i="6" s="1"/>
  <c r="L63" i="6" s="1"/>
  <c r="L64" i="6" s="1"/>
  <c r="F50" i="6"/>
  <c r="G49" i="6" s="1"/>
  <c r="M63" i="6" l="1"/>
  <c r="G50" i="6"/>
  <c r="H49" i="6" s="1"/>
  <c r="M64" i="6" l="1"/>
  <c r="H50" i="6"/>
  <c r="I49" i="6" s="1"/>
  <c r="N63" i="6" l="1"/>
  <c r="N64" i="6" s="1"/>
  <c r="I50" i="6"/>
  <c r="J49" i="6" s="1"/>
  <c r="I1" i="8" l="1"/>
  <c r="J50" i="6"/>
  <c r="K49" i="6" s="1"/>
  <c r="B3" i="9" l="1"/>
  <c r="B5" i="9" s="1"/>
  <c r="B43" i="7" s="1" a="1"/>
  <c r="B43" i="7" s="1"/>
  <c r="C28" i="5"/>
  <c r="K50" i="6"/>
  <c r="L49" i="6" s="1"/>
  <c r="L50" i="6" l="1"/>
  <c r="M49" i="6" s="1"/>
  <c r="M50" i="6" l="1"/>
  <c r="N49" i="6" s="1"/>
  <c r="N50" i="6"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<sst xmlns="http://schemas.openxmlformats.org/spreadsheetml/2006/main" count="296" uniqueCount="113">
  <si>
    <t>Month</t>
  </si>
  <si>
    <t>May</t>
  </si>
  <si>
    <t>Apartment 1</t>
  </si>
  <si>
    <t>Rent</t>
  </si>
  <si>
    <t>Condominium</t>
  </si>
  <si>
    <t>Apartment 2</t>
  </si>
  <si>
    <t>Apartment 3</t>
  </si>
  <si>
    <t>Insurance</t>
  </si>
  <si>
    <t>BUDGET</t>
  </si>
  <si>
    <t>Initial account</t>
  </si>
  <si>
    <t>Tenants</t>
  </si>
  <si>
    <t>Liquidity</t>
  </si>
  <si>
    <t>Water payment</t>
  </si>
  <si>
    <t>Increased rent 1</t>
  </si>
  <si>
    <t>Increased rent 2</t>
  </si>
  <si>
    <t>Increased rent 3</t>
  </si>
  <si>
    <t>Banking costs</t>
  </si>
  <si>
    <t>Book-keeping costs</t>
  </si>
  <si>
    <t>Taxes payable</t>
  </si>
  <si>
    <t>Jan</t>
  </si>
  <si>
    <t>Feb</t>
  </si>
  <si>
    <t>Mar</t>
  </si>
  <si>
    <t>Apr</t>
  </si>
  <si>
    <t>Jun</t>
  </si>
  <si>
    <t>Jul</t>
  </si>
  <si>
    <t>Aug</t>
  </si>
  <si>
    <t>Sep</t>
  </si>
  <si>
    <t>Oct</t>
  </si>
  <si>
    <t>Nov</t>
  </si>
  <si>
    <t>Dec</t>
  </si>
  <si>
    <t>Starts in</t>
  </si>
  <si>
    <t>Occurs in</t>
  </si>
  <si>
    <t>New fridge</t>
  </si>
  <si>
    <t>Water revenues</t>
  </si>
  <si>
    <t>Loan repayment</t>
  </si>
  <si>
    <t>Unitary price</t>
  </si>
  <si>
    <t>CF</t>
  </si>
  <si>
    <t>Renovation</t>
  </si>
  <si>
    <t>Other items</t>
  </si>
  <si>
    <t>Office miscellaneous costs</t>
  </si>
  <si>
    <t>Miscellaneous costs</t>
  </si>
  <si>
    <t>Old rents</t>
  </si>
  <si>
    <t>Other Items</t>
  </si>
  <si>
    <t>Sum of CF</t>
  </si>
  <si>
    <t>Initial Account</t>
  </si>
  <si>
    <t>Injected liquidity</t>
  </si>
  <si>
    <t>Resulting liquidity</t>
  </si>
  <si>
    <t>BUDGET and % increase</t>
  </si>
  <si>
    <t>% increase</t>
  </si>
  <si>
    <t>Injected liquidty</t>
  </si>
  <si>
    <t>Condition</t>
  </si>
  <si>
    <t>Percentage increase</t>
  </si>
  <si>
    <t>Initial rent 1</t>
  </si>
  <si>
    <t>Initial rent 2</t>
  </si>
  <si>
    <t>Initial rent 3</t>
  </si>
  <si>
    <t>Index</t>
  </si>
  <si>
    <t>Current Sum of Injected liquidity</t>
  </si>
  <si>
    <t>Desired value</t>
  </si>
  <si>
    <t>By changing</t>
  </si>
  <si>
    <t>Rent increase</t>
  </si>
  <si>
    <t>Refrigerator change</t>
  </si>
  <si>
    <t>Current liquidity injection</t>
  </si>
  <si>
    <t>&lt;-- TO BE LEFT EMPTY</t>
  </si>
  <si>
    <t>Dummy Refrigerator change</t>
  </si>
  <si>
    <t>Dummy Rent increase</t>
  </si>
  <si>
    <t>Initial rent increase</t>
  </si>
  <si>
    <t>% increase of rent for apartment 1</t>
  </si>
  <si>
    <t>Month of refrigerator change</t>
  </si>
  <si>
    <t>Effects of X and Y variables on the Sum of Injected liquidity</t>
  </si>
  <si>
    <t>Single depositable amount</t>
  </si>
  <si>
    <t>Final injected liquidity</t>
  </si>
  <si>
    <t>rent3_start</t>
  </si>
  <si>
    <t>renovation_start</t>
  </si>
  <si>
    <t>renovation_ending</t>
  </si>
  <si>
    <t>Scenario Summary</t>
  </si>
  <si>
    <t>Changing Cells:</t>
  </si>
  <si>
    <t>Current Values:</t>
  </si>
  <si>
    <t>Result Cells:</t>
  </si>
  <si>
    <t>Objective variable</t>
  </si>
  <si>
    <t>rent2_start</t>
  </si>
  <si>
    <t>book_keeping</t>
  </si>
  <si>
    <t>taxes</t>
  </si>
  <si>
    <t>insurance</t>
  </si>
  <si>
    <t>Created by Matteo Bulleri on 17.2.2022</t>
  </si>
  <si>
    <t>fridge_change</t>
  </si>
  <si>
    <t>injected_liquidity</t>
  </si>
  <si>
    <t>Late start</t>
  </si>
  <si>
    <t>Mismatched expenses</t>
  </si>
  <si>
    <t>Very late renovations</t>
  </si>
  <si>
    <r>
      <t xml:space="preserve">In the first scenario, </t>
    </r>
    <r>
      <rPr>
        <i/>
        <sz val="11"/>
        <color theme="1"/>
        <rFont val="Calibri"/>
        <family val="2"/>
        <scheme val="minor"/>
      </rPr>
      <t>Late start</t>
    </r>
    <r>
      <rPr>
        <sz val="11"/>
        <color theme="1"/>
        <rFont val="Calibri"/>
        <family val="2"/>
        <scheme val="minor"/>
      </rPr>
      <t xml:space="preserve">, I hypothesized that rents for apartments 2 and 3 will start later. The first due to late arrival of the couple in apartment 2, while for the second the reason lies in the longer-than-expected renovation works. According to the model, the sum of injected liquidity would not change, thus remaining constant at 4000.
In the second scenario, </t>
    </r>
    <r>
      <rPr>
        <i/>
        <sz val="11"/>
        <color theme="1"/>
        <rFont val="Calibri"/>
        <family val="2"/>
        <scheme val="minor"/>
      </rPr>
      <t>Mismatched expenses</t>
    </r>
    <r>
      <rPr>
        <sz val="11"/>
        <color theme="1"/>
        <rFont val="Calibri"/>
        <family val="2"/>
        <scheme val="minor"/>
      </rPr>
      <t xml:space="preserve">, I assumed that renovation works will last 6 months instead of 4 (thus rent for apartment 3 starting in July), and that as a result of this substantial delay some expenses such as insurance and book-keeping would change to reflect the extra work of the parties involved. Also, the change of the refrigerator is assumed to be postponed to May. The analysis suggests that this set-up would require the owners to inject €3000 instead of €4000, probably as a result of the lower monthly incidence of renovation expenses and the post-position of the fridge expense.
Finally, in the last scenario, </t>
    </r>
    <r>
      <rPr>
        <i/>
        <sz val="11"/>
        <color theme="1"/>
        <rFont val="Calibri"/>
        <family val="2"/>
        <scheme val="minor"/>
      </rPr>
      <t>Very late renovations</t>
    </r>
    <r>
      <rPr>
        <sz val="11"/>
        <color theme="1"/>
        <rFont val="Calibri"/>
        <family val="2"/>
        <scheme val="minor"/>
      </rPr>
      <t>, I assumed that the renovation works would last for 11 months, and consequently receiving rent revenues for apartment 3 from December. Regardless of the extra book-keeping costs, the required liquidity to be injected would be €3000 nonetheless.</t>
    </r>
  </si>
  <si>
    <t>#</t>
  </si>
  <si>
    <t>Renovation duration</t>
  </si>
  <si>
    <t>Renting delay</t>
  </si>
  <si>
    <t>renting delay</t>
  </si>
  <si>
    <t>No delay</t>
  </si>
  <si>
    <t>1-month delay</t>
  </si>
  <si>
    <t>2-month delay</t>
  </si>
  <si>
    <t>renting_delay_index</t>
  </si>
  <si>
    <t>Index_month</t>
  </si>
  <si>
    <t>Renovation Ending</t>
  </si>
  <si>
    <t>Dummy for Rent start</t>
  </si>
  <si>
    <t>Rent 3 start</t>
  </si>
  <si>
    <t>Renovation ending</t>
  </si>
  <si>
    <t>Dummy for renovation ending</t>
  </si>
  <si>
    <t>Scenario analysis - Effects of different durations of renovation works and expected delay in renting of aparment 3</t>
  </si>
  <si>
    <t>Sum of incoming CF</t>
  </si>
  <si>
    <t>Sum of outgoing CF</t>
  </si>
  <si>
    <t>Fridge</t>
  </si>
  <si>
    <t>Other expenses</t>
  </si>
  <si>
    <t>a) Without extra money injected, the company would have negative balance for 6 months, specifically from February to July (included).Its liquidity should be financed for 3 months in a row, from February to April.
b) Excel goal seek is useful only when a certain objective function is composed by just 1 variable and the parameters make the function continuously differentiable. 
Moreover, due to the rounding constraint, the position of initial values (e.g. current sum of injected liquidity or the rent increse) lead to different outcomes in terms Final rent increase.
In other words, we should use Goal Seek when the parameter's values are continuous and the overall function is differentiable for all Xs.
c) In general, delaying the refrigerator change from May onwards would allow us to inject less liquidity, keeping rent increase constant.
This is because in the first 4 months renovation costs substantially impact the expense account, and therefore moving the una tantum expense for refrigerator change after that period would logically relieve the financial burden in the first 4 months.
Looking also at combination of rent increase and refrigerator change dates, an interesting insight is that with an increase of rent for apartment 1 of 110% (or more) and postponing the change to May, no additional liquidity has to be deposited.
d) If renovation stays 4 months, no extra money are needed with respect to the baseline scenario.
e) A lower duration of renovations would lead to either the same or lower extra liquidity needed. The reason may be found in the fact that if costs are spread over just 2 months, the initial liquidity account can help in covering the higher monthly allocated expenses (i.e. 2000), but also the rent received from apartment 3 will start to flow in, de facto representing a source of financing. 
In particular, 3-month duration would require the owners to insert €3000 in March instead of €2000, and none in April. Thus, there is not much difference between a 3-month and 4-month renovation.
On the contrary, a 2-month renovation would require the owners to make only 1 injection of €3000 in February, thereby saving them €1000 with respect to the other 2 scenarios.
f) Assuming 2 months of delay in renting apartment 3, the situation changes. Now also in case of 2-month renovation (and 2-month delay), the injected liquidity would come back to €4000.
g) Based on the previous answers, I would choose to finish the renovations as soon as possible, regardless of the level of delay in renting afterward. This is because since we are factoring in a probability of delay (i.e. uncertain event), and considering the fact that regardless of the delay (in the range of 1 or 2 months) there are no scenarios in which the extra liquidity exceeds €4000, I would choose to have the renovation works concluded as soon as possible, so February.</t>
  </si>
  <si>
    <t>Instructions</t>
  </si>
  <si>
    <t>Answers</t>
  </si>
  <si>
    <r>
      <t xml:space="preserve">The inputs sheet is where all data can be changed and modified. However, one can change the names of indicators (e.g. Rent) but what it should not be changed is their meaning.
Cells in </t>
    </r>
    <r>
      <rPr>
        <b/>
        <sz val="11"/>
        <color theme="5" tint="0.39997558519241921"/>
        <rFont val="Calibri"/>
        <family val="2"/>
        <scheme val="minor"/>
      </rPr>
      <t>orange</t>
    </r>
    <r>
      <rPr>
        <sz val="11"/>
        <color theme="1"/>
        <rFont val="Calibri"/>
        <family val="2"/>
        <scheme val="minor"/>
      </rPr>
      <t xml:space="preserve"> refer to the inputs that can be manually inserted. Cells in </t>
    </r>
    <r>
      <rPr>
        <b/>
        <sz val="11"/>
        <color theme="7" tint="-0.249977111117893"/>
        <rFont val="Calibri"/>
        <family val="2"/>
        <scheme val="minor"/>
      </rPr>
      <t>yellow</t>
    </r>
    <r>
      <rPr>
        <sz val="11"/>
        <color theme="1"/>
        <rFont val="Calibri"/>
        <family val="2"/>
        <scheme val="minor"/>
      </rPr>
      <t xml:space="preserve"> refer to the values that can only be chosen based on the drop-down list (i.e. validated data).</t>
    </r>
    <r>
      <rPr>
        <sz val="11"/>
        <color theme="0" tint="-0.249977111117893"/>
        <rFont val="Calibri"/>
        <family val="2"/>
        <scheme val="minor"/>
      </rPr>
      <t xml:space="preserve"> </t>
    </r>
    <r>
      <rPr>
        <b/>
        <sz val="11"/>
        <color theme="0" tint="-0.249977111117893"/>
        <rFont val="Calibri"/>
        <family val="2"/>
        <scheme val="minor"/>
      </rPr>
      <t>White</t>
    </r>
    <r>
      <rPr>
        <sz val="11"/>
        <color theme="1"/>
        <rFont val="Calibri"/>
        <family val="2"/>
        <scheme val="minor"/>
      </rPr>
      <t xml:space="preserve"> cells should not be changed. Finally, the cell in</t>
    </r>
    <r>
      <rPr>
        <sz val="11"/>
        <color theme="4" tint="0.39997558519241921"/>
        <rFont val="Calibri"/>
        <family val="2"/>
        <scheme val="minor"/>
      </rPr>
      <t xml:space="preserve"> </t>
    </r>
    <r>
      <rPr>
        <b/>
        <sz val="11"/>
        <color theme="4" tint="0.39997558519241921"/>
        <rFont val="Calibri"/>
        <family val="2"/>
        <scheme val="minor"/>
      </rPr>
      <t>blue</t>
    </r>
    <r>
      <rPr>
        <sz val="11"/>
        <color theme="1"/>
        <rFont val="Calibri"/>
        <family val="2"/>
        <scheme val="minor"/>
      </rPr>
      <t xml:space="preserve"> should not be modified because it is the result of model's calculations based on the inputs previously provided.
Another input cell can be found in Break Even Output sheet. Here, once the </t>
    </r>
    <r>
      <rPr>
        <b/>
        <sz val="11"/>
        <color theme="5" tint="0.39997558519241921"/>
        <rFont val="Calibri"/>
        <family val="2"/>
        <scheme val="minor"/>
      </rPr>
      <t>orange</t>
    </r>
    <r>
      <rPr>
        <sz val="11"/>
        <color theme="1"/>
        <rFont val="Calibri"/>
        <family val="2"/>
        <scheme val="minor"/>
      </rPr>
      <t xml:space="preserve"> cell contains the desired value, the button will start the corresponding macro.
Finally, In the Output file, different scenarios and graphs can be observed, together with other outputs. There is a button that will print to PDF that exact sheet.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</si>
</sst>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 &quot;€&quot;"/>
    <numFmt numFmtId="165" formatCode="_-* #,##0\ [$€-40B]_-;\-* #,##0\ [$€-40B]_-;_-* &quot;-&quot;??\ [$€-40B]_-;_-@_-"/>
  </numFmts>
  <fonts count="17" x14ac:knownFonts="1">
    <font>
      <sz val="11"/>
      <color theme="1"/>
      <name val="Calibri"/>
      <family val="2"/>
      <scheme val="minor"/>
    </font>
    <font>
      <b/>
      <sz val="11"/>
      <color theme="1"/>
      <name val="Calibri"/>
      <family val="2"/>
      <scheme val="minor"/>
    </font>
    <font>
      <sz val="11"/>
      <color theme="1"/>
      <name val="Calibri"/>
      <family val="2"/>
      <scheme val="minor"/>
    </font>
    <font>
      <sz val="11"/>
      <color rgb="FF000000"/>
      <name val="Calibri"/>
      <family val="2"/>
    </font>
    <font>
      <b/>
      <sz val="12"/>
      <color indexed="9"/>
      <name val="Calibri"/>
      <family val="2"/>
      <scheme val="minor"/>
    </font>
    <font>
      <b/>
      <sz val="11"/>
      <color indexed="8"/>
      <name val="Calibri"/>
      <family val="2"/>
      <scheme val="minor"/>
    </font>
    <font>
      <b/>
      <sz val="11"/>
      <color indexed="18"/>
      <name val="Calibri"/>
      <family val="2"/>
      <scheme val="minor"/>
    </font>
    <font>
      <sz val="10"/>
      <color indexed="9"/>
      <name val="Calibri"/>
      <family val="2"/>
      <scheme val="minor"/>
    </font>
    <font>
      <sz val="8"/>
      <color theme="1"/>
      <name val="Calibri"/>
      <family val="2"/>
      <scheme val="minor"/>
    </font>
    <font>
      <i/>
      <sz val="11"/>
      <color theme="1"/>
      <name val="Calibri"/>
      <family val="2"/>
      <scheme val="minor"/>
    </font>
    <font>
      <b/>
      <sz val="18"/>
      <color theme="1"/>
      <name val="Calibri"/>
      <family val="2"/>
      <scheme val="minor"/>
    </font>
    <font>
      <sz val="11"/>
      <color theme="4" tint="0.39997558519241921"/>
      <name val="Calibri"/>
      <family val="2"/>
      <scheme val="minor"/>
    </font>
    <font>
      <sz val="11"/>
      <color theme="0" tint="-0.249977111117893"/>
      <name val="Calibri"/>
      <family val="2"/>
      <scheme val="minor"/>
    </font>
    <font>
      <b/>
      <sz val="11"/>
      <color theme="0" tint="-0.249977111117893"/>
      <name val="Calibri"/>
      <family val="2"/>
      <scheme val="minor"/>
    </font>
    <font>
      <b/>
      <sz val="11"/>
      <color theme="5" tint="0.39997558519241921"/>
      <name val="Calibri"/>
      <family val="2"/>
      <scheme val="minor"/>
    </font>
    <font>
      <b/>
      <sz val="11"/>
      <color theme="7" tint="-0.249977111117893"/>
      <name val="Calibri"/>
      <family val="2"/>
      <scheme val="minor"/>
    </font>
    <font>
      <b/>
      <sz val="11"/>
      <color theme="4" tint="0.39997558519241921"/>
      <name val="Calibri"/>
      <family val="2"/>
      <scheme val="minor"/>
    </font>
  </fonts>
  <fills count="9">
    <fill>
      <patternFill patternType="none"/>
    </fill>
    <fill>
      <patternFill patternType="gray125"/>
    </fill>
    <fill>
      <patternFill patternType="solid">
        <fgColor theme="7" tint="0.79998168889431442"/>
        <bgColor indexed="64"/>
      </patternFill>
    </fill>
    <fill>
      <patternFill patternType="solid">
        <fgColor theme="5" tint="0.39997558519241921"/>
        <bgColor indexed="64"/>
      </patternFill>
    </fill>
    <fill>
      <patternFill patternType="solid">
        <fgColor theme="1"/>
        <bgColor indexed="64"/>
      </patternFill>
    </fill>
    <fill>
      <patternFill patternType="solid">
        <fgColor indexed="20"/>
        <bgColor indexed="24"/>
      </patternFill>
    </fill>
    <fill>
      <patternFill patternType="solid">
        <fgColor indexed="22"/>
        <bgColor indexed="24"/>
      </patternFill>
    </fill>
    <fill>
      <patternFill patternType="solid">
        <fgColor indexed="22"/>
        <bgColor indexed="7"/>
      </patternFill>
    </fill>
    <fill>
      <patternFill patternType="solid">
        <fgColor theme="8" tint="0.59999389629810485"/>
        <bgColor indexed="64"/>
      </patternFill>
    </fill>
  </fills>
  <borders count="32">
    <border>
      <left/>
      <right/>
      <top/>
      <bottom/>
      <diagonal/>
    </border>
    <border>
      <left/>
      <right/>
      <top/>
      <bottom style="double">
        <color indexed="64"/>
      </bottom>
      <diagonal/>
    </border>
    <border>
      <left style="thin">
        <color indexed="64"/>
      </left>
      <right style="thin">
        <color indexed="64"/>
      </right>
      <top style="thin">
        <color indexed="64"/>
      </top>
      <bottom style="thin">
        <color indexed="64"/>
      </bottom>
      <diagonal/>
    </border>
    <border>
      <left style="thin">
        <color theme="5" tint="-0.499984740745262"/>
      </left>
      <right style="thin">
        <color theme="5" tint="-0.499984740745262"/>
      </right>
      <top style="thin">
        <color theme="5" tint="-0.499984740745262"/>
      </top>
      <bottom style="thin">
        <color theme="5" tint="-0.499984740745262"/>
      </bottom>
      <diagonal/>
    </border>
    <border>
      <left/>
      <right/>
      <top style="thin">
        <color theme="5" tint="-0.499984740745262"/>
      </top>
      <bottom/>
      <diagonal/>
    </border>
    <border>
      <left/>
      <right style="thin">
        <color theme="5" tint="-0.499984740745262"/>
      </right>
      <top style="thin">
        <color theme="5" tint="-0.499984740745262"/>
      </top>
      <bottom/>
      <diagonal/>
    </border>
    <border>
      <left/>
      <right/>
      <top style="thin">
        <color theme="5" tint="-0.499984740745262"/>
      </top>
      <bottom style="thin">
        <color theme="5" tint="-0.499984740745262"/>
      </bottom>
      <diagonal/>
    </border>
    <border>
      <left/>
      <right style="thin">
        <color theme="5" tint="-0.499984740745262"/>
      </right>
      <top style="thin">
        <color theme="5" tint="-0.499984740745262"/>
      </top>
      <bottom style="thin">
        <color theme="5" tint="-0.499984740745262"/>
      </bottom>
      <diagonal/>
    </border>
    <border>
      <left/>
      <right style="thin">
        <color theme="5" tint="-0.499984740745262"/>
      </right>
      <top/>
      <bottom/>
      <diagonal/>
    </border>
    <border>
      <left/>
      <right/>
      <top/>
      <bottom style="thin">
        <color theme="5" tint="-0.499984740745262"/>
      </bottom>
      <diagonal/>
    </border>
    <border>
      <left/>
      <right style="thin">
        <color theme="5" tint="-0.499984740745262"/>
      </right>
      <top/>
      <bottom style="thin">
        <color theme="5" tint="-0.499984740745262"/>
      </bottom>
      <diagonal/>
    </border>
    <border>
      <left style="thin">
        <color theme="5" tint="-0.499984740745262"/>
      </left>
      <right style="thin">
        <color theme="5" tint="-0.499984740745262"/>
      </right>
      <top style="thin">
        <color theme="5" tint="-0.499984740745262"/>
      </top>
      <bottom style="double">
        <color theme="5" tint="-0.499984740745262"/>
      </bottom>
      <diagonal/>
    </border>
    <border>
      <left style="thin">
        <color theme="5" tint="-0.499984740745262"/>
      </left>
      <right style="thin">
        <color theme="5" tint="-0.499984740745262"/>
      </right>
      <top/>
      <bottom style="thin">
        <color theme="5" tint="-0.499984740745262"/>
      </bottom>
      <diagonal/>
    </border>
    <border>
      <left/>
      <right style="thin">
        <color theme="5" tint="-0.499984740745262"/>
      </right>
      <top/>
      <bottom style="double">
        <color indexed="64"/>
      </bottom>
      <diagonal/>
    </border>
    <border>
      <left/>
      <right style="thin">
        <color indexed="64"/>
      </right>
      <top/>
      <bottom/>
      <diagonal/>
    </border>
    <border>
      <left style="thin">
        <color indexed="64"/>
      </left>
      <right style="thin">
        <color indexed="64"/>
      </right>
      <top style="thin">
        <color indexed="64"/>
      </top>
      <bottom/>
      <diagonal/>
    </border>
    <border>
      <left/>
      <right/>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style="thin">
        <color theme="5" tint="-0.499984740745262"/>
      </left>
      <right/>
      <top style="thin">
        <color theme="5" tint="-0.499984740745262"/>
      </top>
      <bottom style="thin">
        <color theme="5" tint="-0.499984740745262"/>
      </bottom>
      <diagonal/>
    </border>
    <border>
      <left/>
      <right/>
      <top style="thin">
        <color indexed="64"/>
      </top>
      <bottom style="medium">
        <color indexed="64"/>
      </bottom>
      <diagonal/>
    </border>
    <border>
      <left/>
      <right/>
      <top style="thin">
        <color indexed="64"/>
      </top>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s>
  <cellStyleXfs count="2">
    <xf numFmtId="0" fontId="0" fillId="0" borderId="0"/>
    <xf numFmtId="9" fontId="2" fillId="0" borderId="0" applyFont="0" applyFill="0" applyBorder="0" applyAlignment="0" applyProtection="0"/>
  </cellStyleXfs>
  <cellXfs count="101">
    <xf numFmtId="0" fontId="0" fillId="0" borderId="0" xfId="0"/>
    <xf numFmtId="0" fontId="1" fillId="0" borderId="0" xfId="0" applyFont="1"/>
    <xf numFmtId="0" fontId="0" fillId="0" borderId="0" xfId="0"/>
    <xf numFmtId="0" fontId="0" fillId="0" borderId="1" xfId="0" applyBorder="1"/>
    <xf numFmtId="164" fontId="0" fillId="0" borderId="0" xfId="0" applyNumberFormat="1"/>
    <xf numFmtId="0" fontId="0" fillId="0" borderId="0" xfId="0" applyFill="1"/>
    <xf numFmtId="0" fontId="0" fillId="0" borderId="2" xfId="0" applyBorder="1"/>
    <xf numFmtId="0" fontId="1" fillId="0" borderId="2" xfId="0" applyFont="1" applyBorder="1"/>
    <xf numFmtId="9" fontId="0" fillId="0" borderId="2" xfId="1" applyFont="1" applyBorder="1"/>
    <xf numFmtId="0" fontId="0" fillId="2" borderId="2" xfId="0" applyFill="1" applyBorder="1"/>
    <xf numFmtId="0" fontId="0" fillId="3" borderId="2" xfId="0" applyFill="1" applyBorder="1"/>
    <xf numFmtId="164" fontId="0" fillId="0" borderId="6" xfId="0" quotePrefix="1" applyNumberFormat="1" applyBorder="1"/>
    <xf numFmtId="164" fontId="0" fillId="0" borderId="7" xfId="0" quotePrefix="1" applyNumberFormat="1" applyBorder="1"/>
    <xf numFmtId="9" fontId="0" fillId="0" borderId="4" xfId="1" applyFont="1" applyBorder="1"/>
    <xf numFmtId="9" fontId="0" fillId="0" borderId="5" xfId="1" applyFont="1" applyBorder="1"/>
    <xf numFmtId="164" fontId="0" fillId="0" borderId="0" xfId="0" applyNumberFormat="1" applyBorder="1"/>
    <xf numFmtId="164" fontId="0" fillId="0" borderId="8" xfId="0" applyNumberFormat="1" applyBorder="1"/>
    <xf numFmtId="164" fontId="0" fillId="0" borderId="9" xfId="0" applyNumberFormat="1" applyBorder="1"/>
    <xf numFmtId="164" fontId="0" fillId="0" borderId="10" xfId="0" applyNumberFormat="1" applyBorder="1"/>
    <xf numFmtId="164" fontId="0" fillId="0" borderId="6" xfId="0" applyNumberFormat="1" applyBorder="1"/>
    <xf numFmtId="164" fontId="0" fillId="0" borderId="7" xfId="0" applyNumberFormat="1" applyBorder="1"/>
    <xf numFmtId="0" fontId="0" fillId="0" borderId="6" xfId="0" applyBorder="1"/>
    <xf numFmtId="0" fontId="0" fillId="0" borderId="7" xfId="0" applyBorder="1"/>
    <xf numFmtId="0" fontId="0" fillId="0" borderId="3" xfId="0" applyBorder="1"/>
    <xf numFmtId="0" fontId="0" fillId="0" borderId="11" xfId="0" applyBorder="1"/>
    <xf numFmtId="0" fontId="0" fillId="0" borderId="12" xfId="0" applyBorder="1"/>
    <xf numFmtId="0" fontId="1" fillId="0" borderId="3" xfId="0" applyFont="1" applyBorder="1"/>
    <xf numFmtId="0" fontId="0" fillId="0" borderId="8" xfId="0" applyBorder="1"/>
    <xf numFmtId="0" fontId="0" fillId="0" borderId="13" xfId="0" applyBorder="1"/>
    <xf numFmtId="9" fontId="0" fillId="0" borderId="0" xfId="0" applyNumberFormat="1"/>
    <xf numFmtId="0" fontId="0" fillId="4" borderId="0" xfId="0" applyFill="1"/>
    <xf numFmtId="0" fontId="0" fillId="0" borderId="2" xfId="0" applyFill="1" applyBorder="1"/>
    <xf numFmtId="9" fontId="0" fillId="0" borderId="15" xfId="1" applyFont="1" applyBorder="1"/>
    <xf numFmtId="9" fontId="0" fillId="0" borderId="0" xfId="1" applyFont="1" applyBorder="1"/>
    <xf numFmtId="0" fontId="0" fillId="0" borderId="17" xfId="0" applyBorder="1"/>
    <xf numFmtId="0" fontId="0" fillId="0" borderId="21" xfId="0" applyBorder="1"/>
    <xf numFmtId="0" fontId="0" fillId="0" borderId="22" xfId="0" applyBorder="1"/>
    <xf numFmtId="0" fontId="0" fillId="0" borderId="23" xfId="0" applyBorder="1"/>
    <xf numFmtId="0" fontId="0" fillId="0" borderId="0" xfId="0" applyFill="1" applyBorder="1" applyAlignment="1"/>
    <xf numFmtId="0" fontId="4" fillId="5" borderId="17" xfId="0" applyFont="1" applyFill="1" applyBorder="1" applyAlignment="1">
      <alignment horizontal="left"/>
    </xf>
    <xf numFmtId="0" fontId="4" fillId="5" borderId="24" xfId="0" applyFont="1" applyFill="1" applyBorder="1" applyAlignment="1">
      <alignment horizontal="left"/>
    </xf>
    <xf numFmtId="0" fontId="0" fillId="0" borderId="22" xfId="0" applyFill="1" applyBorder="1" applyAlignment="1"/>
    <xf numFmtId="0" fontId="5" fillId="6" borderId="0" xfId="0" applyFont="1" applyFill="1" applyBorder="1" applyAlignment="1">
      <alignment horizontal="left"/>
    </xf>
    <xf numFmtId="0" fontId="6" fillId="6" borderId="22" xfId="0" applyFont="1" applyFill="1" applyBorder="1" applyAlignment="1">
      <alignment horizontal="left"/>
    </xf>
    <xf numFmtId="0" fontId="5" fillId="6" borderId="16" xfId="0" applyFont="1" applyFill="1" applyBorder="1" applyAlignment="1">
      <alignment horizontal="left"/>
    </xf>
    <xf numFmtId="0" fontId="7" fillId="5" borderId="24" xfId="0" applyFont="1" applyFill="1" applyBorder="1" applyAlignment="1">
      <alignment horizontal="right"/>
    </xf>
    <xf numFmtId="0" fontId="7" fillId="5" borderId="17" xfId="0" applyFont="1" applyFill="1" applyBorder="1" applyAlignment="1">
      <alignment horizontal="right"/>
    </xf>
    <xf numFmtId="0" fontId="8" fillId="0" borderId="0" xfId="0" applyFont="1" applyFill="1" applyBorder="1" applyAlignment="1">
      <alignment vertical="top" wrapText="1"/>
    </xf>
    <xf numFmtId="0" fontId="0" fillId="8" borderId="2" xfId="0" applyFill="1" applyBorder="1"/>
    <xf numFmtId="0" fontId="0" fillId="0" borderId="25" xfId="0" applyBorder="1"/>
    <xf numFmtId="164" fontId="0" fillId="0" borderId="4" xfId="0" quotePrefix="1" applyNumberFormat="1" applyBorder="1"/>
    <xf numFmtId="0" fontId="0" fillId="0" borderId="4" xfId="0" applyBorder="1"/>
    <xf numFmtId="0" fontId="0" fillId="0" borderId="9" xfId="0" applyBorder="1"/>
    <xf numFmtId="164" fontId="0" fillId="0" borderId="2" xfId="0" applyNumberFormat="1" applyBorder="1"/>
    <xf numFmtId="0" fontId="7" fillId="5" borderId="17" xfId="0" applyFont="1" applyFill="1" applyBorder="1" applyAlignment="1">
      <alignment horizontal="center"/>
    </xf>
    <xf numFmtId="0" fontId="0" fillId="0" borderId="0" xfId="0" applyFill="1" applyBorder="1" applyAlignment="1">
      <alignment horizontal="center"/>
    </xf>
    <xf numFmtId="0" fontId="0" fillId="7" borderId="0" xfId="0" applyFill="1" applyBorder="1" applyAlignment="1">
      <alignment horizontal="center"/>
    </xf>
    <xf numFmtId="0" fontId="0" fillId="0" borderId="16" xfId="0" applyFill="1" applyBorder="1" applyAlignment="1">
      <alignment horizontal="center"/>
    </xf>
    <xf numFmtId="165" fontId="0" fillId="0" borderId="2" xfId="0" applyNumberFormat="1" applyBorder="1"/>
    <xf numFmtId="165" fontId="0" fillId="0" borderId="0" xfId="0" applyNumberFormat="1" applyBorder="1"/>
    <xf numFmtId="165" fontId="0" fillId="0" borderId="14" xfId="0" applyNumberFormat="1" applyBorder="1"/>
    <xf numFmtId="165" fontId="0" fillId="0" borderId="17" xfId="0" applyNumberFormat="1" applyBorder="1"/>
    <xf numFmtId="165" fontId="0" fillId="0" borderId="18" xfId="0" applyNumberFormat="1" applyBorder="1"/>
    <xf numFmtId="9" fontId="0" fillId="0" borderId="19" xfId="1" applyFont="1" applyBorder="1"/>
    <xf numFmtId="9" fontId="0" fillId="0" borderId="20" xfId="1" applyFont="1" applyBorder="1"/>
    <xf numFmtId="0" fontId="0" fillId="0" borderId="17" xfId="0" applyBorder="1" applyAlignment="1">
      <alignment horizontal="center"/>
    </xf>
    <xf numFmtId="0" fontId="0" fillId="0" borderId="17" xfId="0" applyBorder="1" applyAlignment="1">
      <alignment horizontal="center" vertical="top"/>
    </xf>
    <xf numFmtId="0" fontId="0" fillId="0" borderId="17" xfId="0" applyBorder="1" applyAlignment="1">
      <alignment horizontal="left"/>
    </xf>
    <xf numFmtId="0" fontId="0" fillId="0" borderId="28" xfId="0" applyBorder="1"/>
    <xf numFmtId="0" fontId="0" fillId="0" borderId="28" xfId="0" applyFont="1" applyBorder="1" applyAlignment="1">
      <alignment vertical="top" wrapText="1"/>
    </xf>
    <xf numFmtId="0" fontId="1" fillId="0" borderId="28" xfId="0" applyFont="1" applyBorder="1"/>
    <xf numFmtId="0" fontId="0" fillId="0" borderId="0" xfId="0" applyAlignment="1">
      <alignment horizontal="left"/>
    </xf>
    <xf numFmtId="0" fontId="0" fillId="0" borderId="31" xfId="0" applyBorder="1" applyAlignment="1">
      <alignment horizontal="center" vertical="top"/>
    </xf>
    <xf numFmtId="0" fontId="0" fillId="0" borderId="18" xfId="0" applyBorder="1"/>
    <xf numFmtId="0" fontId="0" fillId="0" borderId="31" xfId="0" applyBorder="1"/>
    <xf numFmtId="0" fontId="0" fillId="0" borderId="0" xfId="0" applyAlignment="1">
      <alignment horizontal="left" wrapText="1"/>
    </xf>
    <xf numFmtId="0" fontId="0" fillId="0" borderId="0" xfId="0" applyAlignment="1">
      <alignment horizontal="left" vertical="top" wrapText="1"/>
    </xf>
    <xf numFmtId="0" fontId="0" fillId="0" borderId="0" xfId="0" applyAlignment="1">
      <alignment vertical="top" wrapText="1"/>
    </xf>
    <xf numFmtId="0" fontId="10" fillId="0" borderId="0" xfId="0" applyFont="1" applyAlignment="1">
      <alignment horizontal="centerContinuous"/>
    </xf>
    <xf numFmtId="0" fontId="0" fillId="0" borderId="0" xfId="0" applyAlignment="1">
      <alignment horizontal="centerContinuous"/>
    </xf>
    <xf numFmtId="0" fontId="0" fillId="0" borderId="0" xfId="0" applyAlignment="1">
      <alignment horizontal="centerContinuous" vertical="top" wrapText="1"/>
    </xf>
    <xf numFmtId="0" fontId="0" fillId="0" borderId="0" xfId="0" applyAlignment="1">
      <alignment horizontal="left" vertical="top" wrapText="1"/>
    </xf>
    <xf numFmtId="0" fontId="1" fillId="0" borderId="0" xfId="0" applyFont="1" applyAlignment="1">
      <alignment horizontal="center"/>
    </xf>
    <xf numFmtId="0" fontId="0" fillId="0" borderId="2" xfId="0" applyBorder="1" applyAlignment="1">
      <alignment horizontal="left" vertical="top"/>
    </xf>
    <xf numFmtId="0" fontId="1" fillId="0" borderId="0" xfId="0" applyFont="1" applyAlignment="1">
      <alignment horizontal="center" vertical="center" textRotation="90"/>
    </xf>
    <xf numFmtId="0" fontId="0" fillId="0" borderId="26" xfId="0" applyFill="1" applyBorder="1" applyAlignment="1">
      <alignment horizontal="center"/>
    </xf>
    <xf numFmtId="0" fontId="0" fillId="0" borderId="17" xfId="0" applyFill="1" applyBorder="1" applyAlignment="1">
      <alignment horizontal="center"/>
    </xf>
    <xf numFmtId="0" fontId="0" fillId="7" borderId="0" xfId="0" applyFill="1" applyBorder="1" applyAlignment="1">
      <alignment horizontal="center"/>
    </xf>
    <xf numFmtId="0" fontId="0" fillId="0" borderId="0" xfId="0" applyFill="1" applyBorder="1" applyAlignment="1">
      <alignment horizontal="center"/>
    </xf>
    <xf numFmtId="0" fontId="0" fillId="0" borderId="27" xfId="0" applyFill="1" applyBorder="1" applyAlignment="1">
      <alignment horizontal="center"/>
    </xf>
    <xf numFmtId="0" fontId="7" fillId="5" borderId="17" xfId="0" applyFont="1" applyFill="1" applyBorder="1" applyAlignment="1">
      <alignment horizontal="center"/>
    </xf>
    <xf numFmtId="0" fontId="0" fillId="7" borderId="17" xfId="0" applyFill="1" applyBorder="1" applyAlignment="1">
      <alignment horizontal="center"/>
    </xf>
    <xf numFmtId="0" fontId="1" fillId="0" borderId="16" xfId="0" applyFont="1" applyBorder="1" applyAlignment="1">
      <alignment horizontal="left"/>
    </xf>
    <xf numFmtId="0" fontId="0" fillId="0" borderId="17" xfId="0" applyBorder="1" applyAlignment="1">
      <alignment horizontal="center" vertical="top"/>
    </xf>
    <xf numFmtId="0" fontId="1" fillId="0" borderId="29" xfId="0" applyFont="1" applyBorder="1" applyAlignment="1">
      <alignment horizontal="center" vertical="top" wrapText="1"/>
    </xf>
    <xf numFmtId="0" fontId="1" fillId="0" borderId="27" xfId="0" applyFont="1" applyBorder="1" applyAlignment="1">
      <alignment horizontal="center" vertical="top" wrapText="1"/>
    </xf>
    <xf numFmtId="0" fontId="1" fillId="0" borderId="30" xfId="0" applyFont="1" applyBorder="1" applyAlignment="1">
      <alignment horizontal="center" vertical="top" wrapText="1"/>
    </xf>
    <xf numFmtId="0" fontId="1" fillId="0" borderId="28" xfId="0" applyFont="1" applyBorder="1" applyAlignment="1">
      <alignment horizontal="center" vertical="top" wrapText="1"/>
    </xf>
    <xf numFmtId="0" fontId="1" fillId="0" borderId="0" xfId="0" applyFont="1" applyBorder="1" applyAlignment="1">
      <alignment horizontal="center" vertical="top" wrapText="1"/>
    </xf>
    <xf numFmtId="0" fontId="1" fillId="0" borderId="14" xfId="0" applyFont="1" applyBorder="1" applyAlignment="1">
      <alignment horizontal="center" vertical="top" wrapText="1"/>
    </xf>
    <xf numFmtId="0" fontId="0" fillId="7" borderId="27" xfId="0" applyFill="1" applyBorder="1" applyAlignment="1">
      <alignment horizontal="center"/>
    </xf>
  </cellXfs>
  <cellStyles count="2">
    <cellStyle name="Normal" xfId="0" builtinId="0"/>
    <cellStyle name="Percent" xfId="1" builtinId="5"/>
  </cellStyles>
  <dxfs count="2">
    <dxf>
      <font>
        <b val="0"/>
        <i/>
        <strike val="0"/>
        <color rgb="FFFF0000"/>
      </font>
    </dxf>
    <dxf>
      <font>
        <b val="0"/>
        <i/>
        <color theme="9" tint="-0.24994659260841701"/>
      </font>
    </dxf>
  </dxfs>
  <tableStyles count="0" defaultTableStyle="TableStyleMedium2" defaultPivotStyle="PivotStyleLight16"/>
  <colors>
    <mruColors>
      <color rgb="FFFF5050"/>
      <color rgb="FFE3927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lgn="ctr" rtl="0">
              <a:defRPr lang="en-GB" sz="1400" b="0" i="0" u="none" strike="noStrike" kern="1200" spc="0" baseline="0">
                <a:solidFill>
                  <a:schemeClr val="tx1"/>
                </a:solidFill>
                <a:latin typeface="+mn-lt"/>
                <a:ea typeface="+mn-ea"/>
                <a:cs typeface="+mn-cs"/>
              </a:defRPr>
            </a:pPr>
            <a:r>
              <a:rPr lang="en-GB" sz="1400" b="0" i="0" u="none" strike="noStrike" kern="1200" spc="0" baseline="0">
                <a:solidFill>
                  <a:schemeClr val="tx1"/>
                </a:solidFill>
                <a:latin typeface="+mn-lt"/>
                <a:ea typeface="+mn-ea"/>
                <a:cs typeface="+mn-cs"/>
              </a:rPr>
              <a:t>Liquidity and manipulations</a:t>
            </a:r>
          </a:p>
        </c:rich>
      </c:tx>
      <c:layout>
        <c:manualLayout>
          <c:xMode val="edge"/>
          <c:yMode val="edge"/>
          <c:x val="0.26066709603297328"/>
          <c:y val="3.1264366684247744E-2"/>
        </c:manualLayout>
      </c:layout>
      <c:overlay val="0"/>
      <c:spPr>
        <a:noFill/>
        <a:ln>
          <a:noFill/>
        </a:ln>
        <a:effectLst/>
      </c:spPr>
      <c:txPr>
        <a:bodyPr rot="0" spcFirstLastPara="1" vertOverflow="ellipsis" vert="horz" wrap="square" anchor="ctr" anchorCtr="1"/>
        <a:lstStyle/>
        <a:p>
          <a:pPr algn="ctr" rtl="0">
            <a:defRPr lang="en-GB" sz="1400" b="0" i="0" u="none" strike="noStrike" kern="1200" spc="0" baseline="0">
              <a:solidFill>
                <a:schemeClr val="tx1"/>
              </a:solidFill>
              <a:latin typeface="+mn-lt"/>
              <a:ea typeface="+mn-ea"/>
              <a:cs typeface="+mn-cs"/>
            </a:defRPr>
          </a:pPr>
          <a:endParaRPr lang="en-US"/>
        </a:p>
      </c:txPr>
    </c:title>
    <c:autoTitleDeleted val="0"/>
    <c:plotArea>
      <c:layout/>
      <c:barChart>
        <c:barDir val="col"/>
        <c:grouping val="clustered"/>
        <c:varyColors val="0"/>
        <c:ser>
          <c:idx val="2"/>
          <c:order val="1"/>
          <c:tx>
            <c:strRef>
              <c:f>'Model and budget'!$B$49</c:f>
              <c:strCache>
                <c:ptCount val="1"/>
                <c:pt idx="0">
                  <c:v>Injected liquidity</c:v>
                </c:pt>
              </c:strCache>
            </c:strRef>
          </c:tx>
          <c:spPr>
            <a:solidFill>
              <a:schemeClr val="accent2">
                <a:tint val="65000"/>
              </a:schemeClr>
            </a:solidFill>
            <a:ln w="15875">
              <a:solidFill>
                <a:schemeClr val="tx1"/>
              </a:solidFill>
            </a:ln>
            <a:effectLst/>
          </c:spPr>
          <c:invertIfNegative val="0"/>
          <c:val>
            <c:numRef>
              <c:f>'Model and budget'!$C$49:$N$49</c:f>
              <c:numCache>
                <c:formatCode>General</c:formatCode>
                <c:ptCount val="12"/>
                <c:pt idx="0">
                  <c:v>0</c:v>
                </c:pt>
                <c:pt idx="1">
                  <c:v>1000</c:v>
                </c:pt>
                <c:pt idx="2">
                  <c:v>2000</c:v>
                </c:pt>
                <c:pt idx="3">
                  <c:v>1000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378F-4B22-A4F6-5800A7BBCACB}"/>
            </c:ext>
          </c:extLst>
        </c:ser>
        <c:dLbls>
          <c:showLegendKey val="0"/>
          <c:showVal val="0"/>
          <c:showCatName val="0"/>
          <c:showSerName val="0"/>
          <c:showPercent val="0"/>
          <c:showBubbleSize val="0"/>
        </c:dLbls>
        <c:gapWidth val="150"/>
        <c:axId val="1509596319"/>
        <c:axId val="1509591743"/>
      </c:barChart>
      <c:lineChart>
        <c:grouping val="standard"/>
        <c:varyColors val="0"/>
        <c:ser>
          <c:idx val="1"/>
          <c:order val="0"/>
          <c:tx>
            <c:strRef>
              <c:f>'Model and budget'!$B$47</c:f>
              <c:strCache>
                <c:ptCount val="1"/>
                <c:pt idx="0">
                  <c:v>Initial account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'Model and budget'!$C$3:$N$3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'Model and budget'!$C$48:$N$48</c:f>
              <c:numCache>
                <c:formatCode>General</c:formatCode>
                <c:ptCount val="12"/>
                <c:pt idx="0">
                  <c:v>1048</c:v>
                </c:pt>
                <c:pt idx="1">
                  <c:v>-204</c:v>
                </c:pt>
                <c:pt idx="2">
                  <c:v>-2156</c:v>
                </c:pt>
                <c:pt idx="3">
                  <c:v>-3008</c:v>
                </c:pt>
                <c:pt idx="4">
                  <c:v>-2260</c:v>
                </c:pt>
                <c:pt idx="5">
                  <c:v>-1342</c:v>
                </c:pt>
                <c:pt idx="6">
                  <c:v>-594</c:v>
                </c:pt>
                <c:pt idx="7">
                  <c:v>154</c:v>
                </c:pt>
                <c:pt idx="8">
                  <c:v>802</c:v>
                </c:pt>
                <c:pt idx="9">
                  <c:v>910</c:v>
                </c:pt>
                <c:pt idx="10">
                  <c:v>1658</c:v>
                </c:pt>
                <c:pt idx="11">
                  <c:v>2306</c:v>
                </c:pt>
              </c:numCache>
            </c:numRef>
          </c:val>
          <c:smooth val="0"/>
          <c:extLst>
            <c:ext xmlns:c16="http://schemas.microsoft.com/office/drawing/2014/chart" uri="{C3380CC4-5D6E-409C-BE32-E72D297353CC}">
              <c16:uniqueId val="{00000001-378F-4B22-A4F6-5800A7BBCACB}"/>
            </c:ext>
          </c:extLst>
        </c:ser>
        <c:ser>
          <c:idx val="0"/>
          <c:order val="2"/>
          <c:tx>
            <c:strRef>
              <c:f>'Model and budget'!$B$50</c:f>
              <c:strCache>
                <c:ptCount val="1"/>
                <c:pt idx="0">
                  <c:v>Resulting liquidity</c:v>
                </c:pt>
              </c:strCache>
            </c:strRef>
          </c:tx>
          <c:spPr>
            <a:ln w="28575" cap="rnd">
              <a:solidFill>
                <a:schemeClr val="accent2">
                  <a:shade val="65000"/>
                </a:schemeClr>
              </a:solidFill>
              <a:round/>
            </a:ln>
            <a:effectLst/>
          </c:spPr>
          <c:marker>
            <c:symbol val="circle"/>
            <c:size val="5"/>
            <c:spPr>
              <a:solidFill>
                <a:schemeClr val="accent2">
                  <a:shade val="65000"/>
                </a:schemeClr>
              </a:solidFill>
              <a:ln w="9525">
                <a:solidFill>
                  <a:schemeClr val="accent2">
                    <a:shade val="65000"/>
                  </a:schemeClr>
                </a:solidFill>
              </a:ln>
              <a:effectLst/>
            </c:spPr>
          </c:marker>
          <c:cat>
            <c:strRef>
              <c:f>'Model and budget'!$C$3:$N$3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'Model and budget'!$C$50:$N$50</c:f>
              <c:numCache>
                <c:formatCode>General</c:formatCode>
                <c:ptCount val="12"/>
                <c:pt idx="0">
                  <c:v>1048</c:v>
                </c:pt>
                <c:pt idx="1">
                  <c:v>796</c:v>
                </c:pt>
                <c:pt idx="2">
                  <c:v>844</c:v>
                </c:pt>
                <c:pt idx="3">
                  <c:v>992</c:v>
                </c:pt>
                <c:pt idx="4">
                  <c:v>1740</c:v>
                </c:pt>
                <c:pt idx="5">
                  <c:v>2658</c:v>
                </c:pt>
                <c:pt idx="6">
                  <c:v>3406</c:v>
                </c:pt>
                <c:pt idx="7">
                  <c:v>4154</c:v>
                </c:pt>
                <c:pt idx="8">
                  <c:v>4802</c:v>
                </c:pt>
                <c:pt idx="9">
                  <c:v>4910</c:v>
                </c:pt>
                <c:pt idx="10">
                  <c:v>5658</c:v>
                </c:pt>
                <c:pt idx="11">
                  <c:v>6306</c:v>
                </c:pt>
              </c:numCache>
            </c:numRef>
          </c:val>
          <c:smooth val="0"/>
          <c:extLst>
            <c:ext xmlns:c16="http://schemas.microsoft.com/office/drawing/2014/chart" uri="{C3380CC4-5D6E-409C-BE32-E72D297353CC}">
              <c16:uniqueId val="{00000002-378F-4B22-A4F6-5800A7BBCACB}"/>
            </c:ext>
          </c:extLst>
        </c:ser>
        <c:dLbls>
          <c:showLegendKey val="0"/>
          <c:showVal val="0"/>
          <c:showCatName val="0"/>
          <c:showSerName val="0"/>
          <c:showPercent val="0"/>
          <c:showBubbleSize val="0"/>
        </c:dLbls>
        <c:marker val="1"/>
        <c:smooth val="0"/>
        <c:axId val="1509596319"/>
        <c:axId val="1509591743"/>
      </c:lineChart>
      <c:catAx>
        <c:axId val="1509596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0" i="0" u="none" strike="noStrike" kern="1200" baseline="0">
                <a:solidFill>
                  <a:schemeClr val="tx1"/>
                </a:solidFill>
                <a:latin typeface="+mn-lt"/>
                <a:ea typeface="+mn-ea"/>
                <a:cs typeface="+mn-cs"/>
              </a:defRPr>
            </a:pPr>
            <a:endParaRPr lang="en-US"/>
          </a:p>
        </c:txPr>
        <c:crossAx val="1509591743"/>
        <c:crosses val="autoZero"/>
        <c:auto val="1"/>
        <c:lblAlgn val="ctr"/>
        <c:lblOffset val="100"/>
        <c:noMultiLvlLbl val="0"/>
      </c:catAx>
      <c:valAx>
        <c:axId val="1509591743"/>
        <c:scaling>
          <c:orientation val="minMax"/>
        </c:scaling>
        <c:delete val="0"/>
        <c:axPos val="l"/>
        <c:numFmt formatCode="#,##0\ &quot;€&quot;" sourceLinked="0"/>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solidFill>
                <a:latin typeface="+mn-lt"/>
                <a:ea typeface="+mn-ea"/>
                <a:cs typeface="+mn-cs"/>
              </a:defRPr>
            </a:pPr>
            <a:endParaRPr lang="en-US"/>
          </a:p>
        </c:txPr>
        <c:crossAx val="1509596319"/>
        <c:crosses val="autoZero"/>
        <c:crossBetween val="between"/>
        <c:dispUnits>
          <c:builtInUnit val="hundre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tx1">
          <a:lumMod val="95000"/>
          <a:lumOff val="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fi-FI">
                <a:solidFill>
                  <a:schemeClr val="tx1"/>
                </a:solidFill>
              </a:rPr>
              <a:t>Monthly Cash</a:t>
            </a:r>
            <a:r>
              <a:rPr lang="fi-FI" baseline="0">
                <a:solidFill>
                  <a:schemeClr val="tx1"/>
                </a:solidFill>
              </a:rPr>
              <a:t> Flows</a:t>
            </a:r>
            <a:endParaRPr lang="fi-FI">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barChart>
        <c:barDir val="col"/>
        <c:grouping val="clustered"/>
        <c:varyColors val="0"/>
        <c:ser>
          <c:idx val="0"/>
          <c:order val="0"/>
          <c:tx>
            <c:strRef>
              <c:f>'Calculation menu'!$H$25</c:f>
              <c:strCache>
                <c:ptCount val="1"/>
                <c:pt idx="0">
                  <c:v>Sum of incoming CF</c:v>
                </c:pt>
              </c:strCache>
            </c:strRef>
          </c:tx>
          <c:spPr>
            <a:solidFill>
              <a:schemeClr val="accent2">
                <a:shade val="65000"/>
              </a:schemeClr>
            </a:solidFill>
            <a:ln>
              <a:noFill/>
            </a:ln>
            <a:effectLst/>
          </c:spPr>
          <c:invertIfNegative val="0"/>
          <c:cat>
            <c:strRef>
              <c:f>'Model and budget'!$C$3:$N$3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 menu'!$I$25:$T$25</c:f>
              <c:numCache>
                <c:formatCode>General</c:formatCode>
                <c:ptCount val="12"/>
                <c:pt idx="0">
                  <c:v>365</c:v>
                </c:pt>
                <c:pt idx="1">
                  <c:v>365</c:v>
                </c:pt>
                <c:pt idx="2">
                  <c:v>805</c:v>
                </c:pt>
                <c:pt idx="3">
                  <c:v>805</c:v>
                </c:pt>
                <c:pt idx="4">
                  <c:v>1456</c:v>
                </c:pt>
                <c:pt idx="5">
                  <c:v>1456</c:v>
                </c:pt>
                <c:pt idx="6">
                  <c:v>1456</c:v>
                </c:pt>
                <c:pt idx="7">
                  <c:v>1456</c:v>
                </c:pt>
                <c:pt idx="8">
                  <c:v>1456</c:v>
                </c:pt>
                <c:pt idx="9">
                  <c:v>1456</c:v>
                </c:pt>
                <c:pt idx="10">
                  <c:v>1456</c:v>
                </c:pt>
                <c:pt idx="11">
                  <c:v>1456</c:v>
                </c:pt>
              </c:numCache>
            </c:numRef>
          </c:val>
          <c:extLst>
            <c:ext xmlns:c16="http://schemas.microsoft.com/office/drawing/2014/chart" uri="{C3380CC4-5D6E-409C-BE32-E72D297353CC}">
              <c16:uniqueId val="{00000000-C27A-4B23-9042-0E18124B21C5}"/>
            </c:ext>
          </c:extLst>
        </c:ser>
        <c:ser>
          <c:idx val="1"/>
          <c:order val="1"/>
          <c:tx>
            <c:strRef>
              <c:f>'Calculation menu'!$H$36</c:f>
              <c:strCache>
                <c:ptCount val="1"/>
                <c:pt idx="0">
                  <c:v>Sum of outgoing CF</c:v>
                </c:pt>
              </c:strCache>
            </c:strRef>
          </c:tx>
          <c:spPr>
            <a:solidFill>
              <a:schemeClr val="accent2"/>
            </a:solidFill>
            <a:ln>
              <a:noFill/>
            </a:ln>
            <a:effectLst/>
          </c:spPr>
          <c:invertIfNegative val="0"/>
          <c:cat>
            <c:strRef>
              <c:f>'Model and budget'!$C$3:$N$3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 menu'!$I$36:$T$36</c:f>
              <c:numCache>
                <c:formatCode>General</c:formatCode>
                <c:ptCount val="12"/>
                <c:pt idx="0">
                  <c:v>-1597</c:v>
                </c:pt>
                <c:pt idx="1">
                  <c:v>-1597</c:v>
                </c:pt>
                <c:pt idx="2">
                  <c:v>-2737</c:v>
                </c:pt>
                <c:pt idx="3">
                  <c:v>-1637</c:v>
                </c:pt>
                <c:pt idx="4">
                  <c:v>-688</c:v>
                </c:pt>
                <c:pt idx="5">
                  <c:v>-788</c:v>
                </c:pt>
                <c:pt idx="6">
                  <c:v>-688</c:v>
                </c:pt>
                <c:pt idx="7">
                  <c:v>-688</c:v>
                </c:pt>
                <c:pt idx="8">
                  <c:v>-788</c:v>
                </c:pt>
                <c:pt idx="9">
                  <c:v>-1328</c:v>
                </c:pt>
                <c:pt idx="10">
                  <c:v>-688</c:v>
                </c:pt>
                <c:pt idx="11">
                  <c:v>-788</c:v>
                </c:pt>
              </c:numCache>
            </c:numRef>
          </c:val>
          <c:extLst>
            <c:ext xmlns:c16="http://schemas.microsoft.com/office/drawing/2014/chart" uri="{C3380CC4-5D6E-409C-BE32-E72D297353CC}">
              <c16:uniqueId val="{00000001-C27A-4B23-9042-0E18124B21C5}"/>
            </c:ext>
          </c:extLst>
        </c:ser>
        <c:dLbls>
          <c:showLegendKey val="0"/>
          <c:showVal val="0"/>
          <c:showCatName val="0"/>
          <c:showSerName val="0"/>
          <c:showPercent val="0"/>
          <c:showBubbleSize val="0"/>
        </c:dLbls>
        <c:gapWidth val="219"/>
        <c:overlap val="-27"/>
        <c:axId val="765644984"/>
        <c:axId val="765645312"/>
      </c:barChart>
      <c:lineChart>
        <c:grouping val="stacked"/>
        <c:varyColors val="0"/>
        <c:ser>
          <c:idx val="2"/>
          <c:order val="2"/>
          <c:tx>
            <c:strRef>
              <c:f>'Calculation menu'!$H$38</c:f>
              <c:strCache>
                <c:ptCount val="1"/>
                <c:pt idx="0">
                  <c:v>CF</c:v>
                </c:pt>
              </c:strCache>
            </c:strRef>
          </c:tx>
          <c:spPr>
            <a:ln w="28575" cap="rnd">
              <a:solidFill>
                <a:schemeClr val="accent2">
                  <a:tint val="65000"/>
                </a:schemeClr>
              </a:solidFill>
              <a:round/>
            </a:ln>
            <a:effectLst/>
          </c:spPr>
          <c:marker>
            <c:symbol val="diamond"/>
            <c:size val="5"/>
            <c:spPr>
              <a:solidFill>
                <a:schemeClr val="accent2">
                  <a:tint val="65000"/>
                </a:schemeClr>
              </a:solidFill>
              <a:ln w="9525">
                <a:solidFill>
                  <a:schemeClr val="tx1"/>
                </a:solidFill>
              </a:ln>
              <a:effectLst/>
            </c:spPr>
          </c:marker>
          <c:cat>
            <c:strRef>
              <c:f>'Model and budget'!$C$3:$N$3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 menu'!$I$38:$T$38</c:f>
              <c:numCache>
                <c:formatCode>General</c:formatCode>
                <c:ptCount val="12"/>
                <c:pt idx="0">
                  <c:v>-1232</c:v>
                </c:pt>
                <c:pt idx="1">
                  <c:v>-1232</c:v>
                </c:pt>
                <c:pt idx="2">
                  <c:v>-1932</c:v>
                </c:pt>
                <c:pt idx="3">
                  <c:v>-832</c:v>
                </c:pt>
                <c:pt idx="4">
                  <c:v>768</c:v>
                </c:pt>
                <c:pt idx="5">
                  <c:v>668</c:v>
                </c:pt>
                <c:pt idx="6">
                  <c:v>768</c:v>
                </c:pt>
                <c:pt idx="7">
                  <c:v>768</c:v>
                </c:pt>
                <c:pt idx="8">
                  <c:v>668</c:v>
                </c:pt>
                <c:pt idx="9">
                  <c:v>128</c:v>
                </c:pt>
                <c:pt idx="10">
                  <c:v>768</c:v>
                </c:pt>
                <c:pt idx="11">
                  <c:v>668</c:v>
                </c:pt>
              </c:numCache>
            </c:numRef>
          </c:val>
          <c:smooth val="0"/>
          <c:extLst>
            <c:ext xmlns:c16="http://schemas.microsoft.com/office/drawing/2014/chart" uri="{C3380CC4-5D6E-409C-BE32-E72D297353CC}">
              <c16:uniqueId val="{00000002-C27A-4B23-9042-0E18124B21C5}"/>
            </c:ext>
          </c:extLst>
        </c:ser>
        <c:dLbls>
          <c:showLegendKey val="0"/>
          <c:showVal val="0"/>
          <c:showCatName val="0"/>
          <c:showSerName val="0"/>
          <c:showPercent val="0"/>
          <c:showBubbleSize val="0"/>
        </c:dLbls>
        <c:marker val="1"/>
        <c:smooth val="0"/>
        <c:axId val="765644984"/>
        <c:axId val="765645312"/>
      </c:lineChart>
      <c:catAx>
        <c:axId val="765644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765645312"/>
        <c:crosses val="autoZero"/>
        <c:auto val="1"/>
        <c:lblAlgn val="ctr"/>
        <c:lblOffset val="100"/>
        <c:noMultiLvlLbl val="0"/>
      </c:catAx>
      <c:valAx>
        <c:axId val="765645312"/>
        <c:scaling>
          <c:orientation val="minMax"/>
        </c:scaling>
        <c:delete val="0"/>
        <c:axPos val="l"/>
        <c:numFmt formatCode="#,##0\ &quot;€&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765644984"/>
        <c:crosses val="autoZero"/>
        <c:crossBetween val="between"/>
        <c:dispUnits>
          <c:builtInUnit val="hundre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w="25400">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fi-FI"/>
              <a:t>Revenue breakdown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barChart>
        <c:barDir val="col"/>
        <c:grouping val="percentStacked"/>
        <c:varyColors val="0"/>
        <c:ser>
          <c:idx val="0"/>
          <c:order val="0"/>
          <c:tx>
            <c:v>Apartment 1</c:v>
          </c:tx>
          <c:spPr>
            <a:solidFill>
              <a:schemeClr val="accent2">
                <a:tint val="65000"/>
              </a:schemeClr>
            </a:solidFill>
            <a:ln>
              <a:solidFill>
                <a:schemeClr val="tx1"/>
              </a:solidFill>
            </a:ln>
            <a:effectLst/>
          </c:spPr>
          <c:invertIfNegative val="0"/>
          <c:cat>
            <c:strRef>
              <c:f>'Model and budget'!$C$3:$N$3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 menu'!$I$26:$T$26</c:f>
              <c:numCache>
                <c:formatCode>General</c:formatCode>
                <c:ptCount val="12"/>
                <c:pt idx="0">
                  <c:v>365</c:v>
                </c:pt>
                <c:pt idx="1">
                  <c:v>365</c:v>
                </c:pt>
                <c:pt idx="2">
                  <c:v>365</c:v>
                </c:pt>
                <c:pt idx="3">
                  <c:v>365</c:v>
                </c:pt>
                <c:pt idx="4">
                  <c:v>365</c:v>
                </c:pt>
                <c:pt idx="5">
                  <c:v>365</c:v>
                </c:pt>
                <c:pt idx="6">
                  <c:v>365</c:v>
                </c:pt>
                <c:pt idx="7">
                  <c:v>365</c:v>
                </c:pt>
                <c:pt idx="8">
                  <c:v>365</c:v>
                </c:pt>
                <c:pt idx="9">
                  <c:v>365</c:v>
                </c:pt>
                <c:pt idx="10">
                  <c:v>365</c:v>
                </c:pt>
                <c:pt idx="11">
                  <c:v>365</c:v>
                </c:pt>
              </c:numCache>
            </c:numRef>
          </c:val>
          <c:extLst>
            <c:ext xmlns:c16="http://schemas.microsoft.com/office/drawing/2014/chart" uri="{C3380CC4-5D6E-409C-BE32-E72D297353CC}">
              <c16:uniqueId val="{00000000-B9AF-41CD-A6A7-F5BA0C4637EF}"/>
            </c:ext>
          </c:extLst>
        </c:ser>
        <c:ser>
          <c:idx val="1"/>
          <c:order val="1"/>
          <c:tx>
            <c:v>Apartment 2</c:v>
          </c:tx>
          <c:spPr>
            <a:solidFill>
              <a:schemeClr val="accent2"/>
            </a:solidFill>
            <a:ln>
              <a:solidFill>
                <a:schemeClr val="tx1"/>
              </a:solidFill>
            </a:ln>
            <a:effectLst/>
          </c:spPr>
          <c:invertIfNegative val="0"/>
          <c:cat>
            <c:strRef>
              <c:f>'Model and budget'!$C$3:$N$3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 menu'!$I$29:$T$29</c:f>
              <c:numCache>
                <c:formatCode>General</c:formatCode>
                <c:ptCount val="12"/>
                <c:pt idx="0">
                  <c:v>0</c:v>
                </c:pt>
                <c:pt idx="1">
                  <c:v>0</c:v>
                </c:pt>
                <c:pt idx="2">
                  <c:v>440</c:v>
                </c:pt>
                <c:pt idx="3">
                  <c:v>440</c:v>
                </c:pt>
                <c:pt idx="4">
                  <c:v>440</c:v>
                </c:pt>
                <c:pt idx="5">
                  <c:v>440</c:v>
                </c:pt>
                <c:pt idx="6">
                  <c:v>440</c:v>
                </c:pt>
                <c:pt idx="7">
                  <c:v>440</c:v>
                </c:pt>
                <c:pt idx="8">
                  <c:v>440</c:v>
                </c:pt>
                <c:pt idx="9">
                  <c:v>440</c:v>
                </c:pt>
                <c:pt idx="10">
                  <c:v>440</c:v>
                </c:pt>
                <c:pt idx="11">
                  <c:v>440</c:v>
                </c:pt>
              </c:numCache>
            </c:numRef>
          </c:val>
          <c:extLst>
            <c:ext xmlns:c16="http://schemas.microsoft.com/office/drawing/2014/chart" uri="{C3380CC4-5D6E-409C-BE32-E72D297353CC}">
              <c16:uniqueId val="{00000001-B9AF-41CD-A6A7-F5BA0C4637EF}"/>
            </c:ext>
          </c:extLst>
        </c:ser>
        <c:ser>
          <c:idx val="2"/>
          <c:order val="2"/>
          <c:tx>
            <c:v>Apartment 3</c:v>
          </c:tx>
          <c:spPr>
            <a:solidFill>
              <a:schemeClr val="accent2">
                <a:shade val="65000"/>
              </a:schemeClr>
            </a:solidFill>
            <a:ln>
              <a:solidFill>
                <a:schemeClr val="tx1"/>
              </a:solidFill>
            </a:ln>
            <a:effectLst/>
          </c:spPr>
          <c:invertIfNegative val="0"/>
          <c:cat>
            <c:strRef>
              <c:f>'Model and budget'!$C$3:$N$3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 menu'!$I$32:$T$32</c:f>
              <c:numCache>
                <c:formatCode>General</c:formatCode>
                <c:ptCount val="12"/>
                <c:pt idx="0">
                  <c:v>0</c:v>
                </c:pt>
                <c:pt idx="1">
                  <c:v>0</c:v>
                </c:pt>
                <c:pt idx="2">
                  <c:v>0</c:v>
                </c:pt>
                <c:pt idx="3">
                  <c:v>0</c:v>
                </c:pt>
                <c:pt idx="4">
                  <c:v>651</c:v>
                </c:pt>
                <c:pt idx="5">
                  <c:v>651</c:v>
                </c:pt>
                <c:pt idx="6">
                  <c:v>651</c:v>
                </c:pt>
                <c:pt idx="7">
                  <c:v>651</c:v>
                </c:pt>
                <c:pt idx="8">
                  <c:v>651</c:v>
                </c:pt>
                <c:pt idx="9">
                  <c:v>651</c:v>
                </c:pt>
                <c:pt idx="10">
                  <c:v>651</c:v>
                </c:pt>
                <c:pt idx="11">
                  <c:v>651</c:v>
                </c:pt>
              </c:numCache>
            </c:numRef>
          </c:val>
          <c:extLst>
            <c:ext xmlns:c16="http://schemas.microsoft.com/office/drawing/2014/chart" uri="{C3380CC4-5D6E-409C-BE32-E72D297353CC}">
              <c16:uniqueId val="{00000002-B9AF-41CD-A6A7-F5BA0C4637EF}"/>
            </c:ext>
          </c:extLst>
        </c:ser>
        <c:dLbls>
          <c:showLegendKey val="0"/>
          <c:showVal val="0"/>
          <c:showCatName val="0"/>
          <c:showSerName val="0"/>
          <c:showPercent val="0"/>
          <c:showBubbleSize val="0"/>
        </c:dLbls>
        <c:gapWidth val="150"/>
        <c:overlap val="100"/>
        <c:axId val="705586680"/>
        <c:axId val="705586024"/>
      </c:barChart>
      <c:catAx>
        <c:axId val="705586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n-US"/>
          </a:p>
        </c:txPr>
        <c:crossAx val="705586024"/>
        <c:crosses val="autoZero"/>
        <c:auto val="1"/>
        <c:lblAlgn val="ctr"/>
        <c:lblOffset val="100"/>
        <c:noMultiLvlLbl val="0"/>
      </c:catAx>
      <c:valAx>
        <c:axId val="705586024"/>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lgn="ctr">
              <a:defRPr sz="900" b="0" i="0" u="none" strike="noStrike" kern="1200" baseline="0">
                <a:solidFill>
                  <a:schemeClr val="tx1"/>
                </a:solidFill>
                <a:latin typeface="+mn-lt"/>
                <a:ea typeface="+mn-ea"/>
                <a:cs typeface="+mn-cs"/>
              </a:defRPr>
            </a:pPr>
            <a:endParaRPr lang="en-US"/>
          </a:p>
        </c:txPr>
        <c:crossAx val="705586680"/>
        <c:crosses val="autoZero"/>
        <c:crossBetween val="between"/>
        <c:dispUnits>
          <c:builtInUnit val="hundreds"/>
          <c:dispUnitsLbl>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dispUnitsLbl>
        </c:dispUnits>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lgn="ctr" rtl="0">
              <a:defRPr lang="fi-FI" sz="1400" b="0" i="0" u="none" strike="noStrike" kern="1200" spc="0" baseline="0">
                <a:solidFill>
                  <a:sysClr val="windowText" lastClr="000000"/>
                </a:solidFill>
                <a:latin typeface="+mn-lt"/>
                <a:ea typeface="+mn-ea"/>
                <a:cs typeface="+mn-cs"/>
              </a:defRPr>
            </a:pPr>
            <a:r>
              <a:rPr lang="fi-FI" sz="1400" b="0" i="0" u="none" strike="noStrike" kern="1200" spc="0" baseline="0">
                <a:solidFill>
                  <a:sysClr val="windowText" lastClr="000000"/>
                </a:solidFill>
                <a:latin typeface="+mn-lt"/>
                <a:ea typeface="+mn-ea"/>
                <a:cs typeface="+mn-cs"/>
              </a:rPr>
              <a:t>Expenses breakdown</a:t>
            </a:r>
          </a:p>
        </c:rich>
      </c:tx>
      <c:overlay val="0"/>
      <c:spPr>
        <a:noFill/>
        <a:ln>
          <a:noFill/>
        </a:ln>
        <a:effectLst/>
      </c:spPr>
      <c:txPr>
        <a:bodyPr rot="0" spcFirstLastPara="1" vertOverflow="ellipsis" vert="horz" wrap="square" anchor="ctr" anchorCtr="1"/>
        <a:lstStyle/>
        <a:p>
          <a:pPr algn="ctr" rtl="0">
            <a:defRPr lang="fi-FI" sz="1400" b="0" i="0" u="none" strike="noStrike" kern="1200" spc="0" baseline="0">
              <a:solidFill>
                <a:sysClr val="windowText" lastClr="000000"/>
              </a:solidFill>
              <a:latin typeface="+mn-lt"/>
              <a:ea typeface="+mn-ea"/>
              <a:cs typeface="+mn-cs"/>
            </a:defRPr>
          </a:pPr>
          <a:endParaRPr lang="en-US"/>
        </a:p>
      </c:txPr>
    </c:title>
    <c:autoTitleDeleted val="0"/>
    <c:plotArea>
      <c:layout/>
      <c:barChart>
        <c:barDir val="col"/>
        <c:grouping val="percentStacked"/>
        <c:varyColors val="0"/>
        <c:ser>
          <c:idx val="0"/>
          <c:order val="0"/>
          <c:tx>
            <c:strRef>
              <c:f>'Calculation menu'!$H$42</c:f>
              <c:strCache>
                <c:ptCount val="1"/>
                <c:pt idx="0">
                  <c:v>Condominium</c:v>
                </c:pt>
              </c:strCache>
            </c:strRef>
          </c:tx>
          <c:spPr>
            <a:solidFill>
              <a:schemeClr val="accent2">
                <a:tint val="54000"/>
              </a:schemeClr>
            </a:solidFill>
            <a:ln>
              <a:solidFill>
                <a:schemeClr val="tx1"/>
              </a:solidFill>
            </a:ln>
            <a:effectLst/>
          </c:spPr>
          <c:invertIfNegative val="0"/>
          <c:cat>
            <c:strRef>
              <c:f>'Calculation menu'!$I$41:$T$41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 menu'!$I$42:$T$42</c:f>
              <c:numCache>
                <c:formatCode>General</c:formatCode>
                <c:ptCount val="12"/>
                <c:pt idx="0">
                  <c:v>-445</c:v>
                </c:pt>
                <c:pt idx="1">
                  <c:v>-445</c:v>
                </c:pt>
                <c:pt idx="2">
                  <c:v>-445</c:v>
                </c:pt>
                <c:pt idx="3">
                  <c:v>-445</c:v>
                </c:pt>
                <c:pt idx="4">
                  <c:v>-445</c:v>
                </c:pt>
                <c:pt idx="5">
                  <c:v>-445</c:v>
                </c:pt>
                <c:pt idx="6">
                  <c:v>-445</c:v>
                </c:pt>
                <c:pt idx="7">
                  <c:v>-445</c:v>
                </c:pt>
                <c:pt idx="8">
                  <c:v>-445</c:v>
                </c:pt>
                <c:pt idx="9">
                  <c:v>-445</c:v>
                </c:pt>
                <c:pt idx="10">
                  <c:v>-445</c:v>
                </c:pt>
                <c:pt idx="11">
                  <c:v>-445</c:v>
                </c:pt>
              </c:numCache>
            </c:numRef>
          </c:val>
          <c:extLst>
            <c:ext xmlns:c16="http://schemas.microsoft.com/office/drawing/2014/chart" uri="{C3380CC4-5D6E-409C-BE32-E72D297353CC}">
              <c16:uniqueId val="{00000000-6C6F-4C6E-891D-C10E437522F6}"/>
            </c:ext>
          </c:extLst>
        </c:ser>
        <c:ser>
          <c:idx val="1"/>
          <c:order val="1"/>
          <c:tx>
            <c:strRef>
              <c:f>'Calculation menu'!$H$43</c:f>
              <c:strCache>
                <c:ptCount val="1"/>
                <c:pt idx="0">
                  <c:v>Loan repayment</c:v>
                </c:pt>
              </c:strCache>
            </c:strRef>
          </c:tx>
          <c:spPr>
            <a:solidFill>
              <a:schemeClr val="accent2">
                <a:tint val="77000"/>
              </a:schemeClr>
            </a:solidFill>
            <a:ln>
              <a:solidFill>
                <a:schemeClr val="tx1"/>
              </a:solidFill>
            </a:ln>
            <a:effectLst/>
          </c:spPr>
          <c:invertIfNegative val="0"/>
          <c:cat>
            <c:strRef>
              <c:f>'Calculation menu'!$I$41:$T$41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 menu'!$I$43:$T$43</c:f>
              <c:numCache>
                <c:formatCode>General</c:formatCode>
                <c:ptCount val="12"/>
                <c:pt idx="0">
                  <c:v>-87</c:v>
                </c:pt>
                <c:pt idx="1">
                  <c:v>-87</c:v>
                </c:pt>
                <c:pt idx="2">
                  <c:v>-87</c:v>
                </c:pt>
                <c:pt idx="3">
                  <c:v>-87</c:v>
                </c:pt>
                <c:pt idx="4">
                  <c:v>-87</c:v>
                </c:pt>
                <c:pt idx="5">
                  <c:v>-87</c:v>
                </c:pt>
                <c:pt idx="6">
                  <c:v>-87</c:v>
                </c:pt>
                <c:pt idx="7">
                  <c:v>-87</c:v>
                </c:pt>
                <c:pt idx="8">
                  <c:v>-87</c:v>
                </c:pt>
                <c:pt idx="9">
                  <c:v>-87</c:v>
                </c:pt>
                <c:pt idx="10">
                  <c:v>-87</c:v>
                </c:pt>
                <c:pt idx="11">
                  <c:v>-87</c:v>
                </c:pt>
              </c:numCache>
            </c:numRef>
          </c:val>
          <c:extLst>
            <c:ext xmlns:c16="http://schemas.microsoft.com/office/drawing/2014/chart" uri="{C3380CC4-5D6E-409C-BE32-E72D297353CC}">
              <c16:uniqueId val="{00000001-6C6F-4C6E-891D-C10E437522F6}"/>
            </c:ext>
          </c:extLst>
        </c:ser>
        <c:ser>
          <c:idx val="2"/>
          <c:order val="2"/>
          <c:tx>
            <c:strRef>
              <c:f>'Calculation menu'!$H$44</c:f>
              <c:strCache>
                <c:ptCount val="1"/>
                <c:pt idx="0">
                  <c:v>Water payment</c:v>
                </c:pt>
              </c:strCache>
            </c:strRef>
          </c:tx>
          <c:spPr>
            <a:solidFill>
              <a:schemeClr val="accent2"/>
            </a:solidFill>
            <a:ln>
              <a:solidFill>
                <a:schemeClr val="tx1"/>
              </a:solidFill>
            </a:ln>
            <a:effectLst/>
          </c:spPr>
          <c:invertIfNegative val="0"/>
          <c:cat>
            <c:strRef>
              <c:f>'Calculation menu'!$I$41:$T$41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 menu'!$I$44:$T$44</c:f>
              <c:numCache>
                <c:formatCode>General</c:formatCode>
                <c:ptCount val="12"/>
                <c:pt idx="0">
                  <c:v>-20</c:v>
                </c:pt>
                <c:pt idx="1">
                  <c:v>-20</c:v>
                </c:pt>
                <c:pt idx="2">
                  <c:v>-60</c:v>
                </c:pt>
                <c:pt idx="3">
                  <c:v>-60</c:v>
                </c:pt>
                <c:pt idx="4">
                  <c:v>-111</c:v>
                </c:pt>
                <c:pt idx="5">
                  <c:v>-111</c:v>
                </c:pt>
                <c:pt idx="6">
                  <c:v>-111</c:v>
                </c:pt>
                <c:pt idx="7">
                  <c:v>-111</c:v>
                </c:pt>
                <c:pt idx="8">
                  <c:v>-111</c:v>
                </c:pt>
                <c:pt idx="9">
                  <c:v>-111</c:v>
                </c:pt>
                <c:pt idx="10">
                  <c:v>-111</c:v>
                </c:pt>
                <c:pt idx="11">
                  <c:v>-111</c:v>
                </c:pt>
              </c:numCache>
            </c:numRef>
          </c:val>
          <c:extLst>
            <c:ext xmlns:c16="http://schemas.microsoft.com/office/drawing/2014/chart" uri="{C3380CC4-5D6E-409C-BE32-E72D297353CC}">
              <c16:uniqueId val="{00000002-6C6F-4C6E-891D-C10E437522F6}"/>
            </c:ext>
          </c:extLst>
        </c:ser>
        <c:ser>
          <c:idx val="3"/>
          <c:order val="3"/>
          <c:tx>
            <c:strRef>
              <c:f>'Calculation menu'!$H$45</c:f>
              <c:strCache>
                <c:ptCount val="1"/>
                <c:pt idx="0">
                  <c:v>Renovation</c:v>
                </c:pt>
              </c:strCache>
            </c:strRef>
          </c:tx>
          <c:spPr>
            <a:solidFill>
              <a:schemeClr val="accent2">
                <a:shade val="76000"/>
              </a:schemeClr>
            </a:solidFill>
            <a:ln>
              <a:solidFill>
                <a:schemeClr val="tx1"/>
              </a:solidFill>
            </a:ln>
            <a:effectLst/>
          </c:spPr>
          <c:invertIfNegative val="0"/>
          <c:cat>
            <c:strRef>
              <c:f>'Calculation menu'!$I$41:$T$41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 menu'!$I$45:$T$45</c:f>
              <c:numCache>
                <c:formatCode>General</c:formatCode>
                <c:ptCount val="12"/>
                <c:pt idx="0">
                  <c:v>-1000</c:v>
                </c:pt>
                <c:pt idx="1">
                  <c:v>-1000</c:v>
                </c:pt>
                <c:pt idx="2">
                  <c:v>-1000</c:v>
                </c:pt>
                <c:pt idx="3">
                  <c:v>-1000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6C6F-4C6E-891D-C10E437522F6}"/>
            </c:ext>
          </c:extLst>
        </c:ser>
        <c:ser>
          <c:idx val="4"/>
          <c:order val="4"/>
          <c:tx>
            <c:strRef>
              <c:f>'Calculation menu'!$H$54</c:f>
              <c:strCache>
                <c:ptCount val="1"/>
                <c:pt idx="0">
                  <c:v>Other expenses</c:v>
                </c:pt>
              </c:strCache>
            </c:strRef>
          </c:tx>
          <c:spPr>
            <a:solidFill>
              <a:schemeClr val="accent2">
                <a:shade val="53000"/>
              </a:schemeClr>
            </a:solidFill>
            <a:ln>
              <a:solidFill>
                <a:schemeClr val="tx1"/>
              </a:solidFill>
            </a:ln>
            <a:effectLst/>
          </c:spPr>
          <c:invertIfNegative val="0"/>
          <c:cat>
            <c:strRef>
              <c:f>'Calculation menu'!$I$41:$T$41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 menu'!$I$54:$T$54</c:f>
              <c:numCache>
                <c:formatCode>General</c:formatCode>
                <c:ptCount val="12"/>
                <c:pt idx="0">
                  <c:v>-65</c:v>
                </c:pt>
                <c:pt idx="1">
                  <c:v>-65</c:v>
                </c:pt>
                <c:pt idx="2">
                  <c:v>-1165</c:v>
                </c:pt>
                <c:pt idx="3">
                  <c:v>-65</c:v>
                </c:pt>
                <c:pt idx="4">
                  <c:v>-65</c:v>
                </c:pt>
                <c:pt idx="5">
                  <c:v>-165</c:v>
                </c:pt>
                <c:pt idx="6">
                  <c:v>-65</c:v>
                </c:pt>
                <c:pt idx="7">
                  <c:v>-65</c:v>
                </c:pt>
                <c:pt idx="8">
                  <c:v>-165</c:v>
                </c:pt>
                <c:pt idx="9">
                  <c:v>-705</c:v>
                </c:pt>
                <c:pt idx="10">
                  <c:v>-65</c:v>
                </c:pt>
                <c:pt idx="11">
                  <c:v>-165</c:v>
                </c:pt>
              </c:numCache>
            </c:numRef>
          </c:val>
          <c:extLst>
            <c:ext xmlns:c16="http://schemas.microsoft.com/office/drawing/2014/chart" uri="{C3380CC4-5D6E-409C-BE32-E72D297353CC}">
              <c16:uniqueId val="{00000004-6C6F-4C6E-891D-C10E437522F6}"/>
            </c:ext>
          </c:extLst>
        </c:ser>
        <c:dLbls>
          <c:showLegendKey val="0"/>
          <c:showVal val="0"/>
          <c:showCatName val="0"/>
          <c:showSerName val="0"/>
          <c:showPercent val="0"/>
          <c:showBubbleSize val="0"/>
        </c:dLbls>
        <c:gapWidth val="150"/>
        <c:overlap val="100"/>
        <c:axId val="802204960"/>
        <c:axId val="698840744"/>
      </c:barChart>
      <c:catAx>
        <c:axId val="802204960"/>
        <c:scaling>
          <c:orientation val="minMax"/>
        </c:scaling>
        <c:delete val="0"/>
        <c:axPos val="b"/>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0"/>
          <a:lstStyle/>
          <a:p>
            <a:pPr algn="ctr">
              <a:defRPr lang="en-US" sz="800" b="0" i="0" u="none" strike="noStrike" kern="1200" baseline="0">
                <a:solidFill>
                  <a:schemeClr val="tx1"/>
                </a:solidFill>
                <a:latin typeface="+mn-lt"/>
                <a:ea typeface="+mn-ea"/>
                <a:cs typeface="+mn-cs"/>
              </a:defRPr>
            </a:pPr>
            <a:endParaRPr lang="en-US"/>
          </a:p>
        </c:txPr>
        <c:crossAx val="698840744"/>
        <c:crosses val="autoZero"/>
        <c:auto val="1"/>
        <c:lblAlgn val="ctr"/>
        <c:lblOffset val="20"/>
        <c:noMultiLvlLbl val="0"/>
      </c:catAx>
      <c:valAx>
        <c:axId val="69884074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2204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withinLinearReversed" id="22">
  <a:schemeClr val="accent2"/>
</cs:colorStyle>
</file>

<file path=xl/charts/colors4.xml><?xml version="1.0" encoding="utf-8"?>
<cs:colorStyle xmlns:cs="http://schemas.microsoft.com/office/drawing/2012/chartStyle" xmlns:a="http://schemas.openxmlformats.org/drawingml/2006/main" meth="withinLinearReversed" id="22">
  <a:schemeClr val="accent2"/>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Radio" checked="Checked" firstButton="1" fmlaLink="$B$4"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30480</xdr:colOff>
          <xdr:row>4</xdr:row>
          <xdr:rowOff>22860</xdr:rowOff>
        </xdr:from>
        <xdr:to>
          <xdr:col>8</xdr:col>
          <xdr:colOff>594360</xdr:colOff>
          <xdr:row>7</xdr:row>
          <xdr:rowOff>7620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Run Goal Seek analysis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154844</xdr:colOff>
      <xdr:row>5</xdr:row>
      <xdr:rowOff>152400</xdr:rowOff>
    </xdr:from>
    <xdr:to>
      <xdr:col>15</xdr:col>
      <xdr:colOff>563991</xdr:colOff>
      <xdr:row>19</xdr:row>
      <xdr:rowOff>158473</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190500</xdr:colOff>
          <xdr:row>3</xdr:row>
          <xdr:rowOff>175260</xdr:rowOff>
        </xdr:from>
        <xdr:to>
          <xdr:col>2</xdr:col>
          <xdr:colOff>0</xdr:colOff>
          <xdr:row>5</xdr:row>
          <xdr:rowOff>7620</xdr:rowOff>
        </xdr:to>
        <xdr:sp macro="" textlink="">
          <xdr:nvSpPr>
            <xdr:cNvPr id="3073" name="Option Button 1"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4</xdr:row>
          <xdr:rowOff>175260</xdr:rowOff>
        </xdr:from>
        <xdr:to>
          <xdr:col>2</xdr:col>
          <xdr:colOff>0</xdr:colOff>
          <xdr:row>6</xdr:row>
          <xdr:rowOff>7620</xdr:rowOff>
        </xdr:to>
        <xdr:sp macro="" textlink="">
          <xdr:nvSpPr>
            <xdr:cNvPr id="3074" name="Option Button 2" hidden="1">
              <a:extLst>
                <a:ext uri="{63B3BB69-23CF-44E3-9099-C40C66FF867C}">
                  <a14:compatExt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5</xdr:row>
          <xdr:rowOff>175260</xdr:rowOff>
        </xdr:from>
        <xdr:to>
          <xdr:col>2</xdr:col>
          <xdr:colOff>0</xdr:colOff>
          <xdr:row>7</xdr:row>
          <xdr:rowOff>7620</xdr:rowOff>
        </xdr:to>
        <xdr:sp macro="" textlink="">
          <xdr:nvSpPr>
            <xdr:cNvPr id="3075" name="Option Button 3" hidden="1">
              <a:extLst>
                <a:ext uri="{63B3BB69-23CF-44E3-9099-C40C66FF867C}">
                  <a14:compatExt spid="_x0000_s3075"/>
                </a:ext>
                <a:ext uri="{FF2B5EF4-FFF2-40B4-BE49-F238E27FC236}">
                  <a16:creationId xmlns:a16="http://schemas.microsoft.com/office/drawing/2014/main" id="{00000000-0008-0000-06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6</xdr:row>
          <xdr:rowOff>182880</xdr:rowOff>
        </xdr:from>
        <xdr:to>
          <xdr:col>2</xdr:col>
          <xdr:colOff>0</xdr:colOff>
          <xdr:row>8</xdr:row>
          <xdr:rowOff>22860</xdr:rowOff>
        </xdr:to>
        <xdr:sp macro="" textlink="">
          <xdr:nvSpPr>
            <xdr:cNvPr id="3076" name="Option Button 4" hidden="1">
              <a:extLst>
                <a:ext uri="{63B3BB69-23CF-44E3-9099-C40C66FF867C}">
                  <a14:compatExt spid="_x0000_s3076"/>
                </a:ext>
                <a:ext uri="{FF2B5EF4-FFF2-40B4-BE49-F238E27FC236}">
                  <a16:creationId xmlns:a16="http://schemas.microsoft.com/office/drawing/2014/main" id="{00000000-0008-0000-06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7</xdr:row>
          <xdr:rowOff>182880</xdr:rowOff>
        </xdr:from>
        <xdr:to>
          <xdr:col>2</xdr:col>
          <xdr:colOff>0</xdr:colOff>
          <xdr:row>9</xdr:row>
          <xdr:rowOff>22860</xdr:rowOff>
        </xdr:to>
        <xdr:sp macro="" textlink="">
          <xdr:nvSpPr>
            <xdr:cNvPr id="3077" name="Option Button 5" hidden="1">
              <a:extLst>
                <a:ext uri="{63B3BB69-23CF-44E3-9099-C40C66FF867C}">
                  <a14:compatExt spid="_x0000_s3077"/>
                </a:ext>
                <a:ext uri="{FF2B5EF4-FFF2-40B4-BE49-F238E27FC236}">
                  <a16:creationId xmlns:a16="http://schemas.microsoft.com/office/drawing/2014/main" id="{00000000-0008-0000-06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8</xdr:row>
          <xdr:rowOff>182880</xdr:rowOff>
        </xdr:from>
        <xdr:to>
          <xdr:col>2</xdr:col>
          <xdr:colOff>0</xdr:colOff>
          <xdr:row>10</xdr:row>
          <xdr:rowOff>22860</xdr:rowOff>
        </xdr:to>
        <xdr:sp macro="" textlink="">
          <xdr:nvSpPr>
            <xdr:cNvPr id="3078" name="Option Button 6" hidden="1">
              <a:extLst>
                <a:ext uri="{63B3BB69-23CF-44E3-9099-C40C66FF867C}">
                  <a14:compatExt spid="_x0000_s3078"/>
                </a:ext>
                <a:ext uri="{FF2B5EF4-FFF2-40B4-BE49-F238E27FC236}">
                  <a16:creationId xmlns:a16="http://schemas.microsoft.com/office/drawing/2014/main" id="{00000000-0008-0000-06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9</xdr:row>
          <xdr:rowOff>182880</xdr:rowOff>
        </xdr:from>
        <xdr:to>
          <xdr:col>2</xdr:col>
          <xdr:colOff>0</xdr:colOff>
          <xdr:row>11</xdr:row>
          <xdr:rowOff>22860</xdr:rowOff>
        </xdr:to>
        <xdr:sp macro="" textlink="">
          <xdr:nvSpPr>
            <xdr:cNvPr id="3079" name="Option Button 7" hidden="1">
              <a:extLst>
                <a:ext uri="{63B3BB69-23CF-44E3-9099-C40C66FF867C}">
                  <a14:compatExt spid="_x0000_s3079"/>
                </a:ext>
                <a:ext uri="{FF2B5EF4-FFF2-40B4-BE49-F238E27FC236}">
                  <a16:creationId xmlns:a16="http://schemas.microsoft.com/office/drawing/2014/main" id="{00000000-0008-0000-06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10</xdr:row>
          <xdr:rowOff>175260</xdr:rowOff>
        </xdr:from>
        <xdr:to>
          <xdr:col>2</xdr:col>
          <xdr:colOff>0</xdr:colOff>
          <xdr:row>12</xdr:row>
          <xdr:rowOff>7620</xdr:rowOff>
        </xdr:to>
        <xdr:sp macro="" textlink="">
          <xdr:nvSpPr>
            <xdr:cNvPr id="3080" name="Option Button 8" hidden="1">
              <a:extLst>
                <a:ext uri="{63B3BB69-23CF-44E3-9099-C40C66FF867C}">
                  <a14:compatExt spid="_x0000_s3080"/>
                </a:ext>
                <a:ext uri="{FF2B5EF4-FFF2-40B4-BE49-F238E27FC236}">
                  <a16:creationId xmlns:a16="http://schemas.microsoft.com/office/drawing/2014/main" id="{00000000-0008-0000-06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11</xdr:row>
          <xdr:rowOff>175260</xdr:rowOff>
        </xdr:from>
        <xdr:to>
          <xdr:col>2</xdr:col>
          <xdr:colOff>0</xdr:colOff>
          <xdr:row>13</xdr:row>
          <xdr:rowOff>7620</xdr:rowOff>
        </xdr:to>
        <xdr:sp macro="" textlink="">
          <xdr:nvSpPr>
            <xdr:cNvPr id="3081" name="Option Button 9" hidden="1">
              <a:extLst>
                <a:ext uri="{63B3BB69-23CF-44E3-9099-C40C66FF867C}">
                  <a14:compatExt spid="_x0000_s3081"/>
                </a:ext>
                <a:ext uri="{FF2B5EF4-FFF2-40B4-BE49-F238E27FC236}">
                  <a16:creationId xmlns:a16="http://schemas.microsoft.com/office/drawing/2014/main" id="{00000000-0008-0000-06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9</xdr:col>
      <xdr:colOff>154841</xdr:colOff>
      <xdr:row>20</xdr:row>
      <xdr:rowOff>19050</xdr:rowOff>
    </xdr:from>
    <xdr:to>
      <xdr:col>15</xdr:col>
      <xdr:colOff>563988</xdr:colOff>
      <xdr:row>35</xdr:row>
      <xdr:rowOff>63186</xdr:rowOff>
    </xdr:to>
    <xdr:graphicFrame macro="">
      <xdr:nvGraphicFramePr>
        <xdr:cNvPr id="12" name="Chart 11">
          <a:extLst>
            <a:ext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209551</xdr:colOff>
      <xdr:row>13</xdr:row>
      <xdr:rowOff>128867</xdr:rowOff>
    </xdr:from>
    <xdr:to>
      <xdr:col>9</xdr:col>
      <xdr:colOff>96975</xdr:colOff>
      <xdr:row>23</xdr:row>
      <xdr:rowOff>140074</xdr:rowOff>
    </xdr:to>
    <xdr:graphicFrame macro="">
      <xdr:nvGraphicFramePr>
        <xdr:cNvPr id="13" name="Chart 12">
          <a:extLst>
            <a:ext uri="{FF2B5EF4-FFF2-40B4-BE49-F238E27FC236}">
              <a16:creationId xmlns:a16="http://schemas.microsoft.com/office/drawing/2014/main" id="{00000000-0008-0000-06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190501</xdr:colOff>
      <xdr:row>24</xdr:row>
      <xdr:rowOff>9525</xdr:rowOff>
    </xdr:from>
    <xdr:to>
      <xdr:col>9</xdr:col>
      <xdr:colOff>95251</xdr:colOff>
      <xdr:row>35</xdr:row>
      <xdr:rowOff>66825</xdr:rowOff>
    </xdr:to>
    <xdr:graphicFrame macro="">
      <xdr:nvGraphicFramePr>
        <xdr:cNvPr id="17" name="Chart 16">
          <a:extLst>
            <a:ext uri="{FF2B5EF4-FFF2-40B4-BE49-F238E27FC236}">
              <a16:creationId xmlns:a16="http://schemas.microsoft.com/office/drawing/2014/main" id="{00000000-0008-0000-06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11</xdr:col>
          <xdr:colOff>563880</xdr:colOff>
          <xdr:row>70</xdr:row>
          <xdr:rowOff>7620</xdr:rowOff>
        </xdr:from>
        <xdr:to>
          <xdr:col>15</xdr:col>
          <xdr:colOff>266700</xdr:colOff>
          <xdr:row>73</xdr:row>
          <xdr:rowOff>7620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6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Press to Export to PDF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B445F-DD23-4470-9680-415BDE57E86B}">
  <sheetPr codeName="Sheet8"/>
  <dimension ref="A1:M49"/>
  <sheetViews>
    <sheetView showGridLines="0" zoomScale="85" zoomScaleNormal="85" workbookViewId="0">
      <selection activeCell="B50" sqref="A50:XFD1048576"/>
    </sheetView>
  </sheetViews>
  <sheetFormatPr defaultColWidth="0" defaultRowHeight="14.4" zeroHeight="1" x14ac:dyDescent="0.3"/>
  <cols>
    <col min="1" max="13" width="9.109375" customWidth="1"/>
    <col min="14" max="16384" width="9.109375" hidden="1"/>
  </cols>
  <sheetData>
    <row r="1" spans="1:13" s="2" customFormat="1" ht="23.4" x14ac:dyDescent="0.45">
      <c r="A1" s="78" t="s">
        <v>110</v>
      </c>
      <c r="B1" s="79"/>
      <c r="C1" s="79"/>
      <c r="D1" s="79"/>
      <c r="E1" s="79"/>
      <c r="F1" s="79"/>
      <c r="G1" s="79"/>
      <c r="H1" s="79"/>
      <c r="I1" s="79"/>
      <c r="J1" s="79"/>
      <c r="K1" s="79"/>
      <c r="L1" s="79"/>
      <c r="M1" s="79"/>
    </row>
    <row r="2" spans="1:13" s="2" customFormat="1" x14ac:dyDescent="0.3">
      <c r="A2" s="81" t="s">
        <v>112</v>
      </c>
      <c r="B2" s="81"/>
      <c r="C2" s="81"/>
      <c r="D2" s="81"/>
      <c r="E2" s="81"/>
      <c r="F2" s="81"/>
      <c r="G2" s="81"/>
      <c r="H2" s="81"/>
      <c r="I2" s="81"/>
      <c r="J2" s="81"/>
      <c r="K2" s="81"/>
      <c r="L2" s="81"/>
      <c r="M2" s="81"/>
    </row>
    <row r="3" spans="1:13" s="2" customFormat="1" x14ac:dyDescent="0.3">
      <c r="A3" s="81"/>
      <c r="B3" s="81"/>
      <c r="C3" s="81"/>
      <c r="D3" s="81"/>
      <c r="E3" s="81"/>
      <c r="F3" s="81"/>
      <c r="G3" s="81"/>
      <c r="H3" s="81"/>
      <c r="I3" s="81"/>
      <c r="J3" s="81"/>
      <c r="K3" s="81"/>
      <c r="L3" s="81"/>
      <c r="M3" s="81"/>
    </row>
    <row r="4" spans="1:13" s="2" customFormat="1" x14ac:dyDescent="0.3">
      <c r="A4" s="81"/>
      <c r="B4" s="81"/>
      <c r="C4" s="81"/>
      <c r="D4" s="81"/>
      <c r="E4" s="81"/>
      <c r="F4" s="81"/>
      <c r="G4" s="81"/>
      <c r="H4" s="81"/>
      <c r="I4" s="81"/>
      <c r="J4" s="81"/>
      <c r="K4" s="81"/>
      <c r="L4" s="81"/>
      <c r="M4" s="81"/>
    </row>
    <row r="5" spans="1:13" s="2" customFormat="1" x14ac:dyDescent="0.3">
      <c r="A5" s="81"/>
      <c r="B5" s="81"/>
      <c r="C5" s="81"/>
      <c r="D5" s="81"/>
      <c r="E5" s="81"/>
      <c r="F5" s="81"/>
      <c r="G5" s="81"/>
      <c r="H5" s="81"/>
      <c r="I5" s="81"/>
      <c r="J5" s="81"/>
      <c r="K5" s="81"/>
      <c r="L5" s="81"/>
      <c r="M5" s="81"/>
    </row>
    <row r="6" spans="1:13" s="2" customFormat="1" x14ac:dyDescent="0.3">
      <c r="A6" s="81"/>
      <c r="B6" s="81"/>
      <c r="C6" s="81"/>
      <c r="D6" s="81"/>
      <c r="E6" s="81"/>
      <c r="F6" s="81"/>
      <c r="G6" s="81"/>
      <c r="H6" s="81"/>
      <c r="I6" s="81"/>
      <c r="J6" s="81"/>
      <c r="K6" s="81"/>
      <c r="L6" s="81"/>
      <c r="M6" s="81"/>
    </row>
    <row r="7" spans="1:13" s="2" customFormat="1" x14ac:dyDescent="0.3">
      <c r="A7" s="81"/>
      <c r="B7" s="81"/>
      <c r="C7" s="81"/>
      <c r="D7" s="81"/>
      <c r="E7" s="81"/>
      <c r="F7" s="81"/>
      <c r="G7" s="81"/>
      <c r="H7" s="81"/>
      <c r="I7" s="81"/>
      <c r="J7" s="81"/>
      <c r="K7" s="81"/>
      <c r="L7" s="81"/>
      <c r="M7" s="81"/>
    </row>
    <row r="8" spans="1:13" s="2" customFormat="1" x14ac:dyDescent="0.3">
      <c r="A8" s="81"/>
      <c r="B8" s="81"/>
      <c r="C8" s="81"/>
      <c r="D8" s="81"/>
      <c r="E8" s="81"/>
      <c r="F8" s="81"/>
      <c r="G8" s="81"/>
      <c r="H8" s="81"/>
      <c r="I8" s="81"/>
      <c r="J8" s="81"/>
      <c r="K8" s="81"/>
      <c r="L8" s="81"/>
      <c r="M8" s="81"/>
    </row>
    <row r="9" spans="1:13" s="2" customFormat="1" x14ac:dyDescent="0.3">
      <c r="A9" s="81"/>
      <c r="B9" s="81"/>
      <c r="C9" s="81"/>
      <c r="D9" s="81"/>
      <c r="E9" s="81"/>
      <c r="F9" s="81"/>
      <c r="G9" s="81"/>
      <c r="H9" s="81"/>
      <c r="I9" s="81"/>
      <c r="J9" s="81"/>
      <c r="K9" s="81"/>
      <c r="L9" s="81"/>
      <c r="M9" s="81"/>
    </row>
    <row r="10" spans="1:13" x14ac:dyDescent="0.3">
      <c r="A10" s="81"/>
      <c r="B10" s="81"/>
      <c r="C10" s="81"/>
      <c r="D10" s="81"/>
      <c r="E10" s="81"/>
      <c r="F10" s="81"/>
      <c r="G10" s="81"/>
      <c r="H10" s="81"/>
      <c r="I10" s="81"/>
      <c r="J10" s="81"/>
      <c r="K10" s="81"/>
      <c r="L10" s="81"/>
      <c r="M10" s="81"/>
    </row>
    <row r="11" spans="1:13" s="2" customFormat="1" x14ac:dyDescent="0.3">
      <c r="A11" s="76"/>
      <c r="B11" s="76"/>
      <c r="C11" s="76"/>
      <c r="D11" s="76"/>
      <c r="E11" s="76"/>
      <c r="F11" s="76"/>
      <c r="G11" s="76"/>
      <c r="H11" s="76"/>
      <c r="I11" s="76"/>
      <c r="J11" s="76"/>
      <c r="K11" s="76"/>
      <c r="L11" s="76"/>
      <c r="M11" s="76"/>
    </row>
    <row r="12" spans="1:13" s="2" customFormat="1" ht="23.4" x14ac:dyDescent="0.45">
      <c r="A12" s="78" t="s">
        <v>111</v>
      </c>
      <c r="B12" s="80"/>
      <c r="C12" s="80"/>
      <c r="D12" s="80"/>
      <c r="E12" s="80"/>
      <c r="F12" s="80"/>
      <c r="G12" s="80"/>
      <c r="H12" s="80"/>
      <c r="I12" s="80"/>
      <c r="J12" s="80"/>
      <c r="K12" s="80"/>
      <c r="L12" s="80"/>
      <c r="M12" s="80"/>
    </row>
    <row r="13" spans="1:13" ht="15" customHeight="1" x14ac:dyDescent="0.3">
      <c r="A13" s="81" t="s">
        <v>109</v>
      </c>
      <c r="B13" s="81"/>
      <c r="C13" s="81"/>
      <c r="D13" s="81"/>
      <c r="E13" s="81"/>
      <c r="F13" s="81"/>
      <c r="G13" s="81"/>
      <c r="H13" s="81"/>
      <c r="I13" s="81"/>
      <c r="J13" s="81"/>
      <c r="K13" s="81"/>
      <c r="L13" s="81"/>
      <c r="M13" s="81"/>
    </row>
    <row r="14" spans="1:13" x14ac:dyDescent="0.3">
      <c r="A14" s="81"/>
      <c r="B14" s="81"/>
      <c r="C14" s="81"/>
      <c r="D14" s="81"/>
      <c r="E14" s="81"/>
      <c r="F14" s="81"/>
      <c r="G14" s="81"/>
      <c r="H14" s="81"/>
      <c r="I14" s="81"/>
      <c r="J14" s="81"/>
      <c r="K14" s="81"/>
      <c r="L14" s="81"/>
      <c r="M14" s="81"/>
    </row>
    <row r="15" spans="1:13" x14ac:dyDescent="0.3">
      <c r="A15" s="81"/>
      <c r="B15" s="81"/>
      <c r="C15" s="81"/>
      <c r="D15" s="81"/>
      <c r="E15" s="81"/>
      <c r="F15" s="81"/>
      <c r="G15" s="81"/>
      <c r="H15" s="81"/>
      <c r="I15" s="81"/>
      <c r="J15" s="81"/>
      <c r="K15" s="81"/>
      <c r="L15" s="81"/>
      <c r="M15" s="81"/>
    </row>
    <row r="16" spans="1:13" x14ac:dyDescent="0.3">
      <c r="A16" s="81"/>
      <c r="B16" s="81"/>
      <c r="C16" s="81"/>
      <c r="D16" s="81"/>
      <c r="E16" s="81"/>
      <c r="F16" s="81"/>
      <c r="G16" s="81"/>
      <c r="H16" s="81"/>
      <c r="I16" s="81"/>
      <c r="J16" s="81"/>
      <c r="K16" s="81"/>
      <c r="L16" s="81"/>
      <c r="M16" s="81"/>
    </row>
    <row r="17" spans="1:13" x14ac:dyDescent="0.3">
      <c r="A17" s="81"/>
      <c r="B17" s="81"/>
      <c r="C17" s="81"/>
      <c r="D17" s="81"/>
      <c r="E17" s="81"/>
      <c r="F17" s="81"/>
      <c r="G17" s="81"/>
      <c r="H17" s="81"/>
      <c r="I17" s="81"/>
      <c r="J17" s="81"/>
      <c r="K17" s="81"/>
      <c r="L17" s="81"/>
      <c r="M17" s="81"/>
    </row>
    <row r="18" spans="1:13" x14ac:dyDescent="0.3">
      <c r="A18" s="81"/>
      <c r="B18" s="81"/>
      <c r="C18" s="81"/>
      <c r="D18" s="81"/>
      <c r="E18" s="81"/>
      <c r="F18" s="81"/>
      <c r="G18" s="81"/>
      <c r="H18" s="81"/>
      <c r="I18" s="81"/>
      <c r="J18" s="81"/>
      <c r="K18" s="81"/>
      <c r="L18" s="81"/>
      <c r="M18" s="81"/>
    </row>
    <row r="19" spans="1:13" x14ac:dyDescent="0.3">
      <c r="A19" s="81"/>
      <c r="B19" s="81"/>
      <c r="C19" s="81"/>
      <c r="D19" s="81"/>
      <c r="E19" s="81"/>
      <c r="F19" s="81"/>
      <c r="G19" s="81"/>
      <c r="H19" s="81"/>
      <c r="I19" s="81"/>
      <c r="J19" s="81"/>
      <c r="K19" s="81"/>
      <c r="L19" s="81"/>
      <c r="M19" s="81"/>
    </row>
    <row r="20" spans="1:13" x14ac:dyDescent="0.3">
      <c r="A20" s="81"/>
      <c r="B20" s="81"/>
      <c r="C20" s="81"/>
      <c r="D20" s="81"/>
      <c r="E20" s="81"/>
      <c r="F20" s="81"/>
      <c r="G20" s="81"/>
      <c r="H20" s="81"/>
      <c r="I20" s="81"/>
      <c r="J20" s="81"/>
      <c r="K20" s="81"/>
      <c r="L20" s="81"/>
      <c r="M20" s="81"/>
    </row>
    <row r="21" spans="1:13" x14ac:dyDescent="0.3">
      <c r="A21" s="81"/>
      <c r="B21" s="81"/>
      <c r="C21" s="81"/>
      <c r="D21" s="81"/>
      <c r="E21" s="81"/>
      <c r="F21" s="81"/>
      <c r="G21" s="81"/>
      <c r="H21" s="81"/>
      <c r="I21" s="81"/>
      <c r="J21" s="81"/>
      <c r="K21" s="81"/>
      <c r="L21" s="81"/>
      <c r="M21" s="81"/>
    </row>
    <row r="22" spans="1:13" x14ac:dyDescent="0.3">
      <c r="A22" s="81"/>
      <c r="B22" s="81"/>
      <c r="C22" s="81"/>
      <c r="D22" s="81"/>
      <c r="E22" s="81"/>
      <c r="F22" s="81"/>
      <c r="G22" s="81"/>
      <c r="H22" s="81"/>
      <c r="I22" s="81"/>
      <c r="J22" s="81"/>
      <c r="K22" s="81"/>
      <c r="L22" s="81"/>
      <c r="M22" s="81"/>
    </row>
    <row r="23" spans="1:13" x14ac:dyDescent="0.3">
      <c r="A23" s="81"/>
      <c r="B23" s="81"/>
      <c r="C23" s="81"/>
      <c r="D23" s="81"/>
      <c r="E23" s="81"/>
      <c r="F23" s="81"/>
      <c r="G23" s="81"/>
      <c r="H23" s="81"/>
      <c r="I23" s="81"/>
      <c r="J23" s="81"/>
      <c r="K23" s="81"/>
      <c r="L23" s="81"/>
      <c r="M23" s="81"/>
    </row>
    <row r="24" spans="1:13" x14ac:dyDescent="0.3">
      <c r="A24" s="81"/>
      <c r="B24" s="81"/>
      <c r="C24" s="81"/>
      <c r="D24" s="81"/>
      <c r="E24" s="81"/>
      <c r="F24" s="81"/>
      <c r="G24" s="81"/>
      <c r="H24" s="81"/>
      <c r="I24" s="81"/>
      <c r="J24" s="81"/>
      <c r="K24" s="81"/>
      <c r="L24" s="81"/>
      <c r="M24" s="81"/>
    </row>
    <row r="25" spans="1:13" x14ac:dyDescent="0.3">
      <c r="A25" s="81"/>
      <c r="B25" s="81"/>
      <c r="C25" s="81"/>
      <c r="D25" s="81"/>
      <c r="E25" s="81"/>
      <c r="F25" s="81"/>
      <c r="G25" s="81"/>
      <c r="H25" s="81"/>
      <c r="I25" s="81"/>
      <c r="J25" s="81"/>
      <c r="K25" s="81"/>
      <c r="L25" s="81"/>
      <c r="M25" s="81"/>
    </row>
    <row r="26" spans="1:13" x14ac:dyDescent="0.3">
      <c r="A26" s="81"/>
      <c r="B26" s="81"/>
      <c r="C26" s="81"/>
      <c r="D26" s="81"/>
      <c r="E26" s="81"/>
      <c r="F26" s="81"/>
      <c r="G26" s="81"/>
      <c r="H26" s="81"/>
      <c r="I26" s="81"/>
      <c r="J26" s="81"/>
      <c r="K26" s="81"/>
      <c r="L26" s="81"/>
      <c r="M26" s="81"/>
    </row>
    <row r="27" spans="1:13" x14ac:dyDescent="0.3">
      <c r="A27" s="81"/>
      <c r="B27" s="81"/>
      <c r="C27" s="81"/>
      <c r="D27" s="81"/>
      <c r="E27" s="81"/>
      <c r="F27" s="81"/>
      <c r="G27" s="81"/>
      <c r="H27" s="81"/>
      <c r="I27" s="81"/>
      <c r="J27" s="81"/>
      <c r="K27" s="81"/>
      <c r="L27" s="81"/>
      <c r="M27" s="81"/>
    </row>
    <row r="28" spans="1:13" x14ac:dyDescent="0.3">
      <c r="A28" s="81"/>
      <c r="B28" s="81"/>
      <c r="C28" s="81"/>
      <c r="D28" s="81"/>
      <c r="E28" s="81"/>
      <c r="F28" s="81"/>
      <c r="G28" s="81"/>
      <c r="H28" s="81"/>
      <c r="I28" s="81"/>
      <c r="J28" s="81"/>
      <c r="K28" s="81"/>
      <c r="L28" s="81"/>
      <c r="M28" s="81"/>
    </row>
    <row r="29" spans="1:13" x14ac:dyDescent="0.3">
      <c r="A29" s="81"/>
      <c r="B29" s="81"/>
      <c r="C29" s="81"/>
      <c r="D29" s="81"/>
      <c r="E29" s="81"/>
      <c r="F29" s="81"/>
      <c r="G29" s="81"/>
      <c r="H29" s="81"/>
      <c r="I29" s="81"/>
      <c r="J29" s="81"/>
      <c r="K29" s="81"/>
      <c r="L29" s="81"/>
      <c r="M29" s="81"/>
    </row>
    <row r="30" spans="1:13" x14ac:dyDescent="0.3">
      <c r="A30" s="81"/>
      <c r="B30" s="81"/>
      <c r="C30" s="81"/>
      <c r="D30" s="81"/>
      <c r="E30" s="81"/>
      <c r="F30" s="81"/>
      <c r="G30" s="81"/>
      <c r="H30" s="81"/>
      <c r="I30" s="81"/>
      <c r="J30" s="81"/>
      <c r="K30" s="81"/>
      <c r="L30" s="81"/>
      <c r="M30" s="81"/>
    </row>
    <row r="31" spans="1:13" x14ac:dyDescent="0.3">
      <c r="A31" s="81"/>
      <c r="B31" s="81"/>
      <c r="C31" s="81"/>
      <c r="D31" s="81"/>
      <c r="E31" s="81"/>
      <c r="F31" s="81"/>
      <c r="G31" s="81"/>
      <c r="H31" s="81"/>
      <c r="I31" s="81"/>
      <c r="J31" s="81"/>
      <c r="K31" s="81"/>
      <c r="L31" s="81"/>
      <c r="M31" s="81"/>
    </row>
    <row r="32" spans="1:13" x14ac:dyDescent="0.3">
      <c r="A32" s="81"/>
      <c r="B32" s="81"/>
      <c r="C32" s="81"/>
      <c r="D32" s="81"/>
      <c r="E32" s="81"/>
      <c r="F32" s="81"/>
      <c r="G32" s="81"/>
      <c r="H32" s="81"/>
      <c r="I32" s="81"/>
      <c r="J32" s="81"/>
      <c r="K32" s="81"/>
      <c r="L32" s="81"/>
      <c r="M32" s="81"/>
    </row>
    <row r="33" spans="1:13" x14ac:dyDescent="0.3">
      <c r="A33" s="81"/>
      <c r="B33" s="81"/>
      <c r="C33" s="81"/>
      <c r="D33" s="81"/>
      <c r="E33" s="81"/>
      <c r="F33" s="81"/>
      <c r="G33" s="81"/>
      <c r="H33" s="81"/>
      <c r="I33" s="81"/>
      <c r="J33" s="81"/>
      <c r="K33" s="81"/>
      <c r="L33" s="81"/>
      <c r="M33" s="81"/>
    </row>
    <row r="34" spans="1:13" x14ac:dyDescent="0.3">
      <c r="A34" s="81"/>
      <c r="B34" s="81"/>
      <c r="C34" s="81"/>
      <c r="D34" s="81"/>
      <c r="E34" s="81"/>
      <c r="F34" s="81"/>
      <c r="G34" s="81"/>
      <c r="H34" s="81"/>
      <c r="I34" s="81"/>
      <c r="J34" s="81"/>
      <c r="K34" s="81"/>
      <c r="L34" s="81"/>
      <c r="M34" s="81"/>
    </row>
    <row r="35" spans="1:13" x14ac:dyDescent="0.3">
      <c r="A35" s="81"/>
      <c r="B35" s="81"/>
      <c r="C35" s="81"/>
      <c r="D35" s="81"/>
      <c r="E35" s="81"/>
      <c r="F35" s="81"/>
      <c r="G35" s="81"/>
      <c r="H35" s="81"/>
      <c r="I35" s="81"/>
      <c r="J35" s="81"/>
      <c r="K35" s="81"/>
      <c r="L35" s="81"/>
      <c r="M35" s="81"/>
    </row>
    <row r="36" spans="1:13" x14ac:dyDescent="0.3">
      <c r="A36" s="81"/>
      <c r="B36" s="81"/>
      <c r="C36" s="81"/>
      <c r="D36" s="81"/>
      <c r="E36" s="81"/>
      <c r="F36" s="81"/>
      <c r="G36" s="81"/>
      <c r="H36" s="81"/>
      <c r="I36" s="81"/>
      <c r="J36" s="81"/>
      <c r="K36" s="81"/>
      <c r="L36" s="81"/>
      <c r="M36" s="81"/>
    </row>
    <row r="37" spans="1:13" x14ac:dyDescent="0.3">
      <c r="A37" s="81"/>
      <c r="B37" s="81"/>
      <c r="C37" s="81"/>
      <c r="D37" s="81"/>
      <c r="E37" s="81"/>
      <c r="F37" s="81"/>
      <c r="G37" s="81"/>
      <c r="H37" s="81"/>
      <c r="I37" s="81"/>
      <c r="J37" s="81"/>
      <c r="K37" s="81"/>
      <c r="L37" s="81"/>
      <c r="M37" s="81"/>
    </row>
    <row r="38" spans="1:13" x14ac:dyDescent="0.3">
      <c r="A38" s="81"/>
      <c r="B38" s="81"/>
      <c r="C38" s="81"/>
      <c r="D38" s="81"/>
      <c r="E38" s="81"/>
      <c r="F38" s="81"/>
      <c r="G38" s="81"/>
      <c r="H38" s="81"/>
      <c r="I38" s="81"/>
      <c r="J38" s="81"/>
      <c r="K38" s="81"/>
      <c r="L38" s="81"/>
      <c r="M38" s="81"/>
    </row>
    <row r="39" spans="1:13" x14ac:dyDescent="0.3">
      <c r="A39" s="81"/>
      <c r="B39" s="81"/>
      <c r="C39" s="81"/>
      <c r="D39" s="81"/>
      <c r="E39" s="81"/>
      <c r="F39" s="81"/>
      <c r="G39" s="81"/>
      <c r="H39" s="81"/>
      <c r="I39" s="81"/>
      <c r="J39" s="81"/>
      <c r="K39" s="81"/>
      <c r="L39" s="81"/>
      <c r="M39" s="81"/>
    </row>
    <row r="40" spans="1:13" x14ac:dyDescent="0.3">
      <c r="A40" s="81"/>
      <c r="B40" s="81"/>
      <c r="C40" s="81"/>
      <c r="D40" s="81"/>
      <c r="E40" s="81"/>
      <c r="F40" s="81"/>
      <c r="G40" s="81"/>
      <c r="H40" s="81"/>
      <c r="I40" s="81"/>
      <c r="J40" s="81"/>
      <c r="K40" s="81"/>
      <c r="L40" s="81"/>
      <c r="M40" s="81"/>
    </row>
    <row r="41" spans="1:13" x14ac:dyDescent="0.3">
      <c r="A41" s="81"/>
      <c r="B41" s="81"/>
      <c r="C41" s="81"/>
      <c r="D41" s="81"/>
      <c r="E41" s="81"/>
      <c r="F41" s="81"/>
      <c r="G41" s="81"/>
      <c r="H41" s="81"/>
      <c r="I41" s="81"/>
      <c r="J41" s="81"/>
      <c r="K41" s="81"/>
      <c r="L41" s="81"/>
      <c r="M41" s="81"/>
    </row>
    <row r="42" spans="1:13" x14ac:dyDescent="0.3">
      <c r="A42" s="81"/>
      <c r="B42" s="81"/>
      <c r="C42" s="81"/>
      <c r="D42" s="81"/>
      <c r="E42" s="81"/>
      <c r="F42" s="81"/>
      <c r="G42" s="81"/>
      <c r="H42" s="81"/>
      <c r="I42" s="81"/>
      <c r="J42" s="81"/>
      <c r="K42" s="81"/>
      <c r="L42" s="81"/>
      <c r="M42" s="81"/>
    </row>
    <row r="43" spans="1:13" x14ac:dyDescent="0.3">
      <c r="A43" s="81"/>
      <c r="B43" s="81"/>
      <c r="C43" s="81"/>
      <c r="D43" s="81"/>
      <c r="E43" s="81"/>
      <c r="F43" s="81"/>
      <c r="G43" s="81"/>
      <c r="H43" s="81"/>
      <c r="I43" s="81"/>
      <c r="J43" s="81"/>
      <c r="K43" s="81"/>
      <c r="L43" s="81"/>
      <c r="M43" s="81"/>
    </row>
    <row r="44" spans="1:13" x14ac:dyDescent="0.3">
      <c r="A44" s="81"/>
      <c r="B44" s="81"/>
      <c r="C44" s="81"/>
      <c r="D44" s="81"/>
      <c r="E44" s="81"/>
      <c r="F44" s="81"/>
      <c r="G44" s="81"/>
      <c r="H44" s="81"/>
      <c r="I44" s="81"/>
      <c r="J44" s="81"/>
      <c r="K44" s="81"/>
      <c r="L44" s="81"/>
      <c r="M44" s="81"/>
    </row>
    <row r="45" spans="1:13" x14ac:dyDescent="0.3">
      <c r="A45" s="81"/>
      <c r="B45" s="81"/>
      <c r="C45" s="81"/>
      <c r="D45" s="81"/>
      <c r="E45" s="81"/>
      <c r="F45" s="81"/>
      <c r="G45" s="81"/>
      <c r="H45" s="81"/>
      <c r="I45" s="81"/>
      <c r="J45" s="81"/>
      <c r="K45" s="81"/>
      <c r="L45" s="81"/>
      <c r="M45" s="81"/>
    </row>
    <row r="46" spans="1:13" x14ac:dyDescent="0.3">
      <c r="A46" s="81"/>
      <c r="B46" s="81"/>
      <c r="C46" s="81"/>
      <c r="D46" s="81"/>
      <c r="E46" s="81"/>
      <c r="F46" s="81"/>
      <c r="G46" s="81"/>
      <c r="H46" s="81"/>
      <c r="I46" s="81"/>
      <c r="J46" s="81"/>
      <c r="K46" s="81"/>
      <c r="L46" s="81"/>
      <c r="M46" s="81"/>
    </row>
    <row r="47" spans="1:13" x14ac:dyDescent="0.3">
      <c r="A47" s="81"/>
      <c r="B47" s="81"/>
      <c r="C47" s="81"/>
      <c r="D47" s="81"/>
      <c r="E47" s="81"/>
      <c r="F47" s="81"/>
      <c r="G47" s="81"/>
      <c r="H47" s="81"/>
      <c r="I47" s="81"/>
      <c r="J47" s="81"/>
      <c r="K47" s="81"/>
      <c r="L47" s="81"/>
      <c r="M47" s="81"/>
    </row>
    <row r="48" spans="1:13" x14ac:dyDescent="0.3">
      <c r="A48" s="81"/>
      <c r="B48" s="81"/>
      <c r="C48" s="81"/>
      <c r="D48" s="81"/>
      <c r="E48" s="81"/>
      <c r="F48" s="81"/>
      <c r="G48" s="81"/>
      <c r="H48" s="81"/>
      <c r="I48" s="81"/>
      <c r="J48" s="81"/>
      <c r="K48" s="81"/>
      <c r="L48" s="81"/>
      <c r="M48" s="81"/>
    </row>
    <row r="49" spans="1:13" x14ac:dyDescent="0.3">
      <c r="A49" s="81"/>
      <c r="B49" s="81"/>
      <c r="C49" s="81"/>
      <c r="D49" s="81"/>
      <c r="E49" s="81"/>
      <c r="F49" s="81"/>
      <c r="G49" s="81"/>
      <c r="H49" s="81"/>
      <c r="I49" s="81"/>
      <c r="J49" s="81"/>
      <c r="K49" s="81"/>
      <c r="L49" s="81"/>
      <c r="M49" s="81"/>
    </row>
  </sheetData>
  <mergeCells count="2">
    <mergeCell ref="A13:M49"/>
    <mergeCell ref="A2:M10"/>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7CBED9-DB59-4551-9615-93EE8BE60736}">
  <sheetPr codeName="Sheet1"/>
  <dimension ref="A1:O30"/>
  <sheetViews>
    <sheetView showGridLines="0" tabSelected="1" topLeftCell="H1" zoomScale="136" zoomScaleNormal="145" workbookViewId="0">
      <selection activeCell="L12" sqref="L12"/>
    </sheetView>
  </sheetViews>
  <sheetFormatPr defaultColWidth="0" defaultRowHeight="14.4" zeroHeight="1" x14ac:dyDescent="0.3"/>
  <cols>
    <col min="1" max="1" width="2.88671875" customWidth="1"/>
    <col min="2" max="2" width="26.88671875" bestFit="1" customWidth="1"/>
    <col min="3" max="3" width="9.44140625" bestFit="1" customWidth="1"/>
    <col min="4" max="4" width="4.6640625" bestFit="1" customWidth="1"/>
    <col min="5" max="5" width="8.88671875" bestFit="1" customWidth="1"/>
    <col min="6" max="6" width="4.33203125" customWidth="1"/>
    <col min="7" max="7" width="12.33203125" bestFit="1" customWidth="1"/>
    <col min="8" max="8" width="9.109375" customWidth="1"/>
    <col min="9" max="9" width="25" bestFit="1" customWidth="1"/>
    <col min="10" max="10" width="9.44140625" bestFit="1" customWidth="1"/>
    <col min="11" max="11" width="4.88671875" bestFit="1" customWidth="1"/>
    <col min="12" max="12" width="8.88671875" bestFit="1" customWidth="1"/>
    <col min="13" max="13" width="4.33203125" bestFit="1" customWidth="1"/>
    <col min="14" max="14" width="12.33203125" bestFit="1" customWidth="1"/>
    <col min="15" max="15" width="9.109375" customWidth="1"/>
    <col min="16" max="16384" width="9.109375" hidden="1"/>
  </cols>
  <sheetData>
    <row r="1" spans="2:14" s="2" customFormat="1" x14ac:dyDescent="0.3"/>
    <row r="2" spans="2:14" x14ac:dyDescent="0.3"/>
    <row r="3" spans="2:14" x14ac:dyDescent="0.3">
      <c r="B3" s="82" t="s">
        <v>2</v>
      </c>
      <c r="C3" s="82"/>
      <c r="D3" s="82"/>
      <c r="E3" s="82"/>
      <c r="F3" s="82"/>
      <c r="G3" s="82"/>
      <c r="I3" s="82" t="s">
        <v>6</v>
      </c>
      <c r="J3" s="82"/>
      <c r="K3" s="82"/>
      <c r="L3" s="82"/>
      <c r="M3" s="82"/>
      <c r="N3" s="82"/>
    </row>
    <row r="4" spans="2:14" x14ac:dyDescent="0.3">
      <c r="B4" s="6" t="s">
        <v>10</v>
      </c>
      <c r="C4" s="10">
        <v>1</v>
      </c>
      <c r="D4" s="2"/>
      <c r="E4" s="2"/>
      <c r="F4" s="2"/>
      <c r="G4" s="1" t="s">
        <v>35</v>
      </c>
      <c r="I4" s="6" t="s">
        <v>10</v>
      </c>
      <c r="J4" s="10">
        <v>3</v>
      </c>
      <c r="K4" s="2"/>
      <c r="L4" s="2"/>
      <c r="M4" s="2"/>
      <c r="N4" s="1" t="s">
        <v>35</v>
      </c>
    </row>
    <row r="5" spans="2:14" x14ac:dyDescent="0.3">
      <c r="B5" s="6" t="s">
        <v>3</v>
      </c>
      <c r="C5" s="6" t="s">
        <v>30</v>
      </c>
      <c r="D5" s="9" t="s">
        <v>19</v>
      </c>
      <c r="E5" s="6" t="str">
        <f t="shared" ref="E5:E10" si="0">IF(C5="Starts in","Ends in","No need")</f>
        <v>Ends in</v>
      </c>
      <c r="F5" s="9" t="s">
        <v>29</v>
      </c>
      <c r="G5" s="10">
        <v>345</v>
      </c>
      <c r="I5" s="6" t="s">
        <v>3</v>
      </c>
      <c r="J5" s="6" t="s">
        <v>30</v>
      </c>
      <c r="K5" s="9" t="s">
        <v>1</v>
      </c>
      <c r="L5" s="6" t="str">
        <f t="shared" ref="L5:L10" si="1">IF(J5="Starts in","Ends in","No need")</f>
        <v>Ends in</v>
      </c>
      <c r="M5" s="9" t="s">
        <v>29</v>
      </c>
      <c r="N5" s="10">
        <v>600</v>
      </c>
    </row>
    <row r="6" spans="2:14" x14ac:dyDescent="0.3">
      <c r="B6" s="6" t="s">
        <v>33</v>
      </c>
      <c r="C6" s="6" t="s">
        <v>30</v>
      </c>
      <c r="D6" s="9" t="str">
        <f>rent1_start</f>
        <v>Jan</v>
      </c>
      <c r="E6" s="6" t="str">
        <f t="shared" si="0"/>
        <v>Ends in</v>
      </c>
      <c r="F6" s="9" t="s">
        <v>29</v>
      </c>
      <c r="G6" s="10">
        <v>20</v>
      </c>
      <c r="I6" s="6" t="s">
        <v>33</v>
      </c>
      <c r="J6" s="6" t="s">
        <v>30</v>
      </c>
      <c r="K6" s="9" t="str">
        <f>rent3_start</f>
        <v>May</v>
      </c>
      <c r="L6" s="6" t="str">
        <f t="shared" si="1"/>
        <v>Ends in</v>
      </c>
      <c r="M6" s="9" t="s">
        <v>29</v>
      </c>
      <c r="N6" s="10">
        <v>17</v>
      </c>
    </row>
    <row r="7" spans="2:14" x14ac:dyDescent="0.3">
      <c r="B7" s="6" t="s">
        <v>12</v>
      </c>
      <c r="C7" s="6" t="s">
        <v>30</v>
      </c>
      <c r="D7" s="9" t="str">
        <f>D6</f>
        <v>Jan</v>
      </c>
      <c r="E7" s="6" t="str">
        <f t="shared" si="0"/>
        <v>Ends in</v>
      </c>
      <c r="F7" s="9" t="s">
        <v>29</v>
      </c>
      <c r="G7" s="10">
        <v>-20</v>
      </c>
      <c r="I7" s="6" t="s">
        <v>12</v>
      </c>
      <c r="J7" s="6" t="s">
        <v>30</v>
      </c>
      <c r="K7" s="9" t="str">
        <f>K6</f>
        <v>May</v>
      </c>
      <c r="L7" s="6" t="str">
        <f t="shared" si="1"/>
        <v>Ends in</v>
      </c>
      <c r="M7" s="9" t="s">
        <v>29</v>
      </c>
      <c r="N7" s="10">
        <v>-17</v>
      </c>
    </row>
    <row r="8" spans="2:14" x14ac:dyDescent="0.3">
      <c r="B8" s="6" t="s">
        <v>4</v>
      </c>
      <c r="C8" s="6" t="s">
        <v>30</v>
      </c>
      <c r="D8" s="9" t="s">
        <v>19</v>
      </c>
      <c r="E8" s="6" t="str">
        <f t="shared" si="0"/>
        <v>Ends in</v>
      </c>
      <c r="F8" s="9" t="s">
        <v>29</v>
      </c>
      <c r="G8" s="10">
        <v>-122</v>
      </c>
      <c r="I8" s="6" t="s">
        <v>4</v>
      </c>
      <c r="J8" s="6" t="s">
        <v>30</v>
      </c>
      <c r="K8" s="9" t="s">
        <v>19</v>
      </c>
      <c r="L8" s="6" t="str">
        <f t="shared" si="1"/>
        <v>Ends in</v>
      </c>
      <c r="M8" s="9" t="s">
        <v>29</v>
      </c>
      <c r="N8" s="10">
        <v>-121</v>
      </c>
    </row>
    <row r="9" spans="2:14" x14ac:dyDescent="0.3">
      <c r="B9" s="6" t="s">
        <v>34</v>
      </c>
      <c r="C9" s="6" t="s">
        <v>30</v>
      </c>
      <c r="D9" s="9" t="s">
        <v>19</v>
      </c>
      <c r="E9" s="6" t="str">
        <f t="shared" si="0"/>
        <v>Ends in</v>
      </c>
      <c r="F9" s="9" t="s">
        <v>29</v>
      </c>
      <c r="G9" s="10">
        <v>-43</v>
      </c>
      <c r="I9" s="6" t="s">
        <v>34</v>
      </c>
      <c r="J9" s="6" t="s">
        <v>30</v>
      </c>
      <c r="K9" s="9" t="s">
        <v>19</v>
      </c>
      <c r="L9" s="6" t="str">
        <f t="shared" si="1"/>
        <v>Ends in</v>
      </c>
      <c r="M9" s="9" t="s">
        <v>29</v>
      </c>
      <c r="N9" s="10">
        <v>-44</v>
      </c>
    </row>
    <row r="10" spans="2:14" x14ac:dyDescent="0.3">
      <c r="B10" s="6" t="s">
        <v>32</v>
      </c>
      <c r="C10" s="6" t="s">
        <v>31</v>
      </c>
      <c r="D10" s="9" t="s">
        <v>21</v>
      </c>
      <c r="E10" s="6" t="str">
        <f t="shared" si="0"/>
        <v>No need</v>
      </c>
      <c r="F10" s="9"/>
      <c r="G10" s="10">
        <v>-700</v>
      </c>
      <c r="I10" s="6" t="s">
        <v>37</v>
      </c>
      <c r="J10" s="6" t="s">
        <v>30</v>
      </c>
      <c r="K10" s="9" t="s">
        <v>19</v>
      </c>
      <c r="L10" s="6" t="str">
        <f t="shared" si="1"/>
        <v>Ends in</v>
      </c>
      <c r="M10" s="9" t="s">
        <v>22</v>
      </c>
      <c r="N10" s="6">
        <f>-(4000/(_xlfn.XLOOKUP(IF('Calculation menu'!G19="",M10,renovation_ending),Month,index_month)-_xlfn.XLOOKUP(renovation_start,Month,index_month)+1))</f>
        <v>-1000</v>
      </c>
    </row>
    <row r="11" spans="2:14" x14ac:dyDescent="0.3">
      <c r="C11" s="2"/>
      <c r="D11" s="2"/>
      <c r="E11" s="2"/>
      <c r="F11" s="2"/>
      <c r="G11" s="2"/>
    </row>
    <row r="12" spans="2:14" x14ac:dyDescent="0.3">
      <c r="C12" s="2"/>
      <c r="D12" s="2"/>
      <c r="E12" s="2"/>
      <c r="F12" s="2"/>
      <c r="G12" s="2"/>
    </row>
    <row r="13" spans="2:14" x14ac:dyDescent="0.3">
      <c r="B13" s="82" t="s">
        <v>5</v>
      </c>
      <c r="C13" s="82"/>
      <c r="D13" s="82"/>
      <c r="E13" s="82"/>
      <c r="F13" s="82"/>
      <c r="G13" s="82"/>
      <c r="I13" s="82" t="s">
        <v>38</v>
      </c>
      <c r="J13" s="82"/>
      <c r="K13" s="82"/>
      <c r="L13" s="82"/>
      <c r="M13" s="82"/>
      <c r="N13" s="82"/>
    </row>
    <row r="14" spans="2:14" x14ac:dyDescent="0.3">
      <c r="B14" s="6" t="s">
        <v>10</v>
      </c>
      <c r="C14" s="10">
        <v>2</v>
      </c>
      <c r="D14" s="2"/>
      <c r="E14" s="2"/>
      <c r="F14" s="2"/>
      <c r="G14" s="1" t="s">
        <v>35</v>
      </c>
      <c r="J14" s="2"/>
      <c r="K14" s="2"/>
      <c r="L14" s="2"/>
      <c r="M14" s="2"/>
      <c r="N14" s="1" t="s">
        <v>35</v>
      </c>
    </row>
    <row r="15" spans="2:14" x14ac:dyDescent="0.3">
      <c r="B15" s="6" t="s">
        <v>3</v>
      </c>
      <c r="C15" s="6" t="s">
        <v>30</v>
      </c>
      <c r="D15" s="9" t="s">
        <v>21</v>
      </c>
      <c r="E15" s="6" t="str">
        <f>IF(C15="Starts in","Ends in","No need")</f>
        <v>Ends in</v>
      </c>
      <c r="F15" s="9" t="s">
        <v>29</v>
      </c>
      <c r="G15" s="10">
        <v>440</v>
      </c>
      <c r="I15" s="6" t="s">
        <v>16</v>
      </c>
      <c r="J15" s="6" t="s">
        <v>30</v>
      </c>
      <c r="K15" s="9" t="s">
        <v>19</v>
      </c>
      <c r="L15" s="6" t="str">
        <f t="shared" ref="L15:L24" si="2">IF(J15="Starts in","Ends in","No need")</f>
        <v>Ends in</v>
      </c>
      <c r="M15" s="9" t="s">
        <v>29</v>
      </c>
      <c r="N15" s="10">
        <v>-10</v>
      </c>
    </row>
    <row r="16" spans="2:14" x14ac:dyDescent="0.3">
      <c r="B16" s="6" t="s">
        <v>33</v>
      </c>
      <c r="C16" s="6" t="s">
        <v>30</v>
      </c>
      <c r="D16" s="9" t="str">
        <f>rent2_start</f>
        <v>Mar</v>
      </c>
      <c r="E16" s="6" t="str">
        <f>IF(C16="Starts in","Ends in","No need")</f>
        <v>Ends in</v>
      </c>
      <c r="F16" s="9" t="s">
        <v>29</v>
      </c>
      <c r="G16" s="10">
        <v>0</v>
      </c>
      <c r="I16" s="6" t="s">
        <v>39</v>
      </c>
      <c r="J16" s="6" t="s">
        <v>30</v>
      </c>
      <c r="K16" s="9" t="s">
        <v>19</v>
      </c>
      <c r="L16" s="6" t="str">
        <f t="shared" si="2"/>
        <v>Ends in</v>
      </c>
      <c r="M16" s="9" t="s">
        <v>29</v>
      </c>
      <c r="N16" s="10">
        <v>-55</v>
      </c>
    </row>
    <row r="17" spans="2:14" x14ac:dyDescent="0.3">
      <c r="B17" s="6" t="s">
        <v>12</v>
      </c>
      <c r="C17" s="6" t="s">
        <v>30</v>
      </c>
      <c r="D17" s="9" t="str">
        <f>D16</f>
        <v>Mar</v>
      </c>
      <c r="E17" s="6" t="str">
        <f>IF(C17="Starts in","Ends in","No need")</f>
        <v>Ends in</v>
      </c>
      <c r="F17" s="9" t="s">
        <v>29</v>
      </c>
      <c r="G17" s="10">
        <v>-20</v>
      </c>
      <c r="I17" s="6" t="s">
        <v>17</v>
      </c>
      <c r="J17" s="6" t="s">
        <v>31</v>
      </c>
      <c r="K17" s="9" t="s">
        <v>21</v>
      </c>
      <c r="L17" s="6" t="str">
        <f t="shared" si="2"/>
        <v>No need</v>
      </c>
      <c r="M17" s="9"/>
      <c r="N17" s="10">
        <v>-300</v>
      </c>
    </row>
    <row r="18" spans="2:14" x14ac:dyDescent="0.3">
      <c r="B18" s="6" t="s">
        <v>4</v>
      </c>
      <c r="C18" s="6" t="s">
        <v>30</v>
      </c>
      <c r="D18" s="9" t="s">
        <v>19</v>
      </c>
      <c r="E18" s="6" t="str">
        <f>IF(C18="Starts in","Ends in","No need")</f>
        <v>Ends in</v>
      </c>
      <c r="F18" s="9" t="s">
        <v>29</v>
      </c>
      <c r="G18" s="10">
        <v>-202</v>
      </c>
      <c r="I18" s="6" t="s">
        <v>18</v>
      </c>
      <c r="J18" s="6" t="s">
        <v>31</v>
      </c>
      <c r="K18" s="9" t="s">
        <v>27</v>
      </c>
      <c r="L18" s="6" t="str">
        <f t="shared" si="2"/>
        <v>No need</v>
      </c>
      <c r="M18" s="9"/>
      <c r="N18" s="10">
        <v>-440</v>
      </c>
    </row>
    <row r="19" spans="2:14" x14ac:dyDescent="0.3">
      <c r="B19" s="6" t="s">
        <v>34</v>
      </c>
      <c r="C19" s="6" t="s">
        <v>30</v>
      </c>
      <c r="D19" s="9" t="s">
        <v>19</v>
      </c>
      <c r="E19" s="6" t="str">
        <f>IF(C19="Starts in","Ends in","No need")</f>
        <v>Ends in</v>
      </c>
      <c r="F19" s="9" t="s">
        <v>29</v>
      </c>
      <c r="G19" s="10">
        <v>0</v>
      </c>
      <c r="I19" s="6" t="s">
        <v>40</v>
      </c>
      <c r="J19" s="6" t="s">
        <v>31</v>
      </c>
      <c r="K19" s="9" t="s">
        <v>21</v>
      </c>
      <c r="L19" s="6" t="str">
        <f t="shared" si="2"/>
        <v>No need</v>
      </c>
      <c r="M19" s="9"/>
      <c r="N19" s="10">
        <v>-100</v>
      </c>
    </row>
    <row r="20" spans="2:14" x14ac:dyDescent="0.3">
      <c r="C20" s="2"/>
      <c r="D20" s="2"/>
      <c r="E20" s="2"/>
      <c r="F20" s="2"/>
      <c r="G20" s="2"/>
      <c r="I20" s="6" t="s">
        <v>40</v>
      </c>
      <c r="J20" s="6" t="s">
        <v>31</v>
      </c>
      <c r="K20" s="9" t="s">
        <v>23</v>
      </c>
      <c r="L20" s="6" t="str">
        <f t="shared" si="2"/>
        <v>No need</v>
      </c>
      <c r="M20" s="9"/>
      <c r="N20" s="10">
        <v>-100</v>
      </c>
    </row>
    <row r="21" spans="2:14" x14ac:dyDescent="0.3">
      <c r="C21" s="2"/>
      <c r="D21" s="2"/>
      <c r="E21" s="2"/>
      <c r="F21" s="2"/>
      <c r="G21" s="2"/>
      <c r="I21" s="6" t="s">
        <v>40</v>
      </c>
      <c r="J21" s="6" t="s">
        <v>31</v>
      </c>
      <c r="K21" s="9" t="s">
        <v>26</v>
      </c>
      <c r="L21" s="6" t="str">
        <f t="shared" si="2"/>
        <v>No need</v>
      </c>
      <c r="M21" s="9"/>
      <c r="N21" s="10">
        <v>-100</v>
      </c>
    </row>
    <row r="22" spans="2:14" x14ac:dyDescent="0.3">
      <c r="B22" s="6" t="s">
        <v>44</v>
      </c>
      <c r="C22" s="10">
        <v>2300</v>
      </c>
      <c r="I22" s="6" t="s">
        <v>40</v>
      </c>
      <c r="J22" s="6" t="s">
        <v>31</v>
      </c>
      <c r="K22" s="9" t="s">
        <v>29</v>
      </c>
      <c r="L22" s="6" t="str">
        <f t="shared" si="2"/>
        <v>No need</v>
      </c>
      <c r="M22" s="9"/>
      <c r="N22" s="10">
        <v>-100</v>
      </c>
    </row>
    <row r="23" spans="2:14" x14ac:dyDescent="0.3">
      <c r="B23" s="6" t="s">
        <v>69</v>
      </c>
      <c r="C23" s="10">
        <v>1000</v>
      </c>
      <c r="I23" s="6" t="s">
        <v>7</v>
      </c>
      <c r="J23" s="6" t="s">
        <v>31</v>
      </c>
      <c r="K23" s="9" t="s">
        <v>27</v>
      </c>
      <c r="L23" s="6" t="str">
        <f t="shared" si="2"/>
        <v>No need</v>
      </c>
      <c r="M23" s="9"/>
      <c r="N23" s="10">
        <v>-200</v>
      </c>
    </row>
    <row r="24" spans="2:14" x14ac:dyDescent="0.3">
      <c r="I24" s="6" t="s">
        <v>41</v>
      </c>
      <c r="J24" s="6" t="s">
        <v>31</v>
      </c>
      <c r="K24" s="9" t="s">
        <v>23</v>
      </c>
      <c r="L24" s="6" t="str">
        <f t="shared" si="2"/>
        <v>No need</v>
      </c>
      <c r="M24" s="9"/>
      <c r="N24" s="10">
        <v>270</v>
      </c>
    </row>
    <row r="25" spans="2:14" x14ac:dyDescent="0.3"/>
    <row r="26" spans="2:14" x14ac:dyDescent="0.3"/>
    <row r="27" spans="2:14" x14ac:dyDescent="0.3">
      <c r="B27" s="1" t="s">
        <v>78</v>
      </c>
    </row>
    <row r="28" spans="2:14" x14ac:dyDescent="0.3">
      <c r="B28" s="6" t="s">
        <v>70</v>
      </c>
      <c r="C28" s="48">
        <f>sum_inj_liq</f>
        <v>0</v>
      </c>
    </row>
    <row r="29" spans="2:14" x14ac:dyDescent="0.3"/>
    <row r="30" spans="2:14" hidden="1" x14ac:dyDescent="0.3">
      <c r="C30" s="2"/>
      <c r="D30" s="2"/>
      <c r="E30" s="2"/>
      <c r="F30" s="2"/>
      <c r="G30" s="2"/>
    </row>
  </sheetData>
  <scenarios current="0" sqref="C28">
    <scenario name="Late start" count="3" user="Matteo Bulleri" comment="Created by Matteo Bulleri on 17.2.2022">
      <inputCells r="D15" val="May"/>
      <inputCells r="K10" val="Jan"/>
      <inputCells r="M10" undone="1" val="May"/>
    </scenario>
    <scenario name="Mismatched expenses" locked="1" count="6" user="Matteo Bulleri" comment="Created by Matteo Bulleri on 17.2.2022">
      <inputCells r="D10" val="May"/>
      <inputCells r="N23" val="-300"/>
      <inputCells r="N17" val="-250"/>
      <inputCells r="K10" val="Jan"/>
      <inputCells r="N18" val="-380"/>
      <inputCells r="M10" undone="1" val="Jun"/>
    </scenario>
    <scenario name="Very late renovations" locked="1" count="3" user="Matteo Bulleri" comment="Created by Matteo Bulleri on 17.2.2022">
      <inputCells r="K10" val="Jan"/>
      <inputCells r="N17" val="-500"/>
      <inputCells r="M10" undone="1" val="Nov"/>
    </scenario>
  </scenarios>
  <mergeCells count="4">
    <mergeCell ref="B3:G3"/>
    <mergeCell ref="B13:G13"/>
    <mergeCell ref="I3:N3"/>
    <mergeCell ref="I13:N13"/>
  </mergeCells>
  <dataValidations count="2">
    <dataValidation type="list" allowBlank="1" showInputMessage="1" showErrorMessage="1" sqref="C5:C10 C12 C15:C21 J14:J24 J5:J10 C30" xr:uid="{92347DFB-42E8-4DF5-81B7-A8A8C912B847}">
      <formula1>Condition</formula1>
    </dataValidation>
    <dataValidation type="list" allowBlank="1" showInputMessage="1" showErrorMessage="1" sqref="D12 D15:D21 M15:M24 F14:F19 F5:F10 K14:K24 D30 D5:D10 K5:K10 M5:M10" xr:uid="{C7C33F71-4CA7-4905-A519-C30D7DCD0B51}">
      <formula1>Month</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30208-1E4B-4DAC-83F2-D759A4853DD8}">
  <sheetPr codeName="Sheet2"/>
  <dimension ref="A1:N71"/>
  <sheetViews>
    <sheetView showGridLines="0" zoomScale="85" zoomScaleNormal="85" workbookViewId="0">
      <selection activeCell="Q20" sqref="Q20"/>
    </sheetView>
  </sheetViews>
  <sheetFormatPr defaultRowHeight="14.4" x14ac:dyDescent="0.3"/>
  <cols>
    <col min="2" max="2" width="25" bestFit="1" customWidth="1"/>
    <col min="3" max="3" width="12.6640625" bestFit="1" customWidth="1"/>
  </cols>
  <sheetData>
    <row r="1" spans="2:14" x14ac:dyDescent="0.3">
      <c r="C1" cm="1">
        <f t="array" ref="C1:N1">TRANSPOSE(index_month)</f>
        <v>1</v>
      </c>
      <c r="D1">
        <v>2</v>
      </c>
      <c r="E1">
        <v>3</v>
      </c>
      <c r="F1">
        <v>4</v>
      </c>
      <c r="G1">
        <v>5</v>
      </c>
      <c r="H1">
        <v>6</v>
      </c>
      <c r="I1">
        <v>7</v>
      </c>
      <c r="J1">
        <v>8</v>
      </c>
      <c r="K1">
        <v>9</v>
      </c>
      <c r="L1">
        <v>10</v>
      </c>
      <c r="M1">
        <v>11</v>
      </c>
      <c r="N1">
        <v>12</v>
      </c>
    </row>
    <row r="3" spans="2:14" x14ac:dyDescent="0.3">
      <c r="B3" s="26" t="s">
        <v>2</v>
      </c>
      <c r="C3" s="23" t="str" cm="1">
        <f t="array" ref="C3:N3">TRANSPOSE(Month)</f>
        <v>Jan</v>
      </c>
      <c r="D3" s="23" t="str">
        <v>Feb</v>
      </c>
      <c r="E3" s="23" t="str">
        <v>Mar</v>
      </c>
      <c r="F3" s="23" t="str">
        <v>Apr</v>
      </c>
      <c r="G3" s="23" t="str">
        <v>May</v>
      </c>
      <c r="H3" s="23" t="str">
        <v>Jun</v>
      </c>
      <c r="I3" s="23" t="str">
        <v>Jul</v>
      </c>
      <c r="J3" s="23" t="str">
        <v>Aug</v>
      </c>
      <c r="K3" s="23" t="str">
        <v>Sep</v>
      </c>
      <c r="L3" s="23" t="str">
        <v>Oct</v>
      </c>
      <c r="M3" s="23" t="str">
        <v>Nov</v>
      </c>
      <c r="N3" s="23" t="str">
        <v>Dec</v>
      </c>
    </row>
    <row r="4" spans="2:14" x14ac:dyDescent="0.3">
      <c r="B4" s="25" t="str">
        <f>Inputs!B5</f>
        <v>Rent</v>
      </c>
      <c r="C4" s="2">
        <f>IF(Inputs!$E5="Ends in", IF(_xlfn.XLOOKUP(Inputs!$F5,Month,index_month)&gt;=C$1, IF(Inputs!$C5="Starts in",IF(_xlfn.XLOOKUP(Inputs!$D5,Month,index_month)&lt;=C$1,Inputs!$G5,""),IF(_xlfn.XLOOKUP(Inputs!$D5,Month,index_month)=C$1,Inputs!$G5,"")),""),IF(_xlfn.XLOOKUP(Inputs!$D5,Month,index_month)=C$1,Inputs!$G5,""))</f>
        <v>345</v>
      </c>
      <c r="D4" s="2">
        <f>IF(Inputs!$E5="Ends in", IF(_xlfn.XLOOKUP(Inputs!$F5,Month,index_month)&gt;=D$1, IF(Inputs!$C5="Starts in",IF(_xlfn.XLOOKUP(Inputs!$D5,Month,index_month)&lt;=D$1,Inputs!$G5,""),IF(_xlfn.XLOOKUP(Inputs!$D5,Month,index_month)=D$1,Inputs!$G5,"")),""),IF(_xlfn.XLOOKUP(Inputs!$D5,Month,index_month)=D$1,Inputs!$G5,""))</f>
        <v>345</v>
      </c>
      <c r="E4" s="2">
        <f>IF(Inputs!$E5="Ends in", IF(_xlfn.XLOOKUP(Inputs!$F5,Month,index_month)&gt;=E$1, IF(Inputs!$C5="Starts in",IF(_xlfn.XLOOKUP(Inputs!$D5,Month,index_month)&lt;=E$1,Inputs!$G5,""),IF(_xlfn.XLOOKUP(Inputs!$D5,Month,index_month)=E$1,Inputs!$G5,"")),""),IF(_xlfn.XLOOKUP(Inputs!$D5,Month,index_month)=E$1,Inputs!$G5,""))</f>
        <v>345</v>
      </c>
      <c r="F4" s="2">
        <f>IF(Inputs!$E5="Ends in", IF(_xlfn.XLOOKUP(Inputs!$F5,Month,index_month)&gt;=F$1, IF(Inputs!$C5="Starts in",IF(_xlfn.XLOOKUP(Inputs!$D5,Month,index_month)&lt;=F$1,Inputs!$G5,""),IF(_xlfn.XLOOKUP(Inputs!$D5,Month,index_month)=F$1,Inputs!$G5,"")),""),IF(_xlfn.XLOOKUP(Inputs!$D5,Month,index_month)=F$1,Inputs!$G5,""))</f>
        <v>345</v>
      </c>
      <c r="G4" s="2">
        <f>IF(Inputs!$E5="Ends in", IF(_xlfn.XLOOKUP(Inputs!$F5,Month,index_month)&gt;=G$1, IF(Inputs!$C5="Starts in",IF(_xlfn.XLOOKUP(Inputs!$D5,Month,index_month)&lt;=G$1,Inputs!$G5,""),IF(_xlfn.XLOOKUP(Inputs!$D5,Month,index_month)=G$1,Inputs!$G5,"")),""),IF(_xlfn.XLOOKUP(Inputs!$D5,Month,index_month)=G$1,Inputs!$G5,""))</f>
        <v>345</v>
      </c>
      <c r="H4" s="2">
        <f>IF(Inputs!$E5="Ends in", IF(_xlfn.XLOOKUP(Inputs!$F5,Month,index_month)&gt;=H$1, IF(Inputs!$C5="Starts in",IF(_xlfn.XLOOKUP(Inputs!$D5,Month,index_month)&lt;=H$1,Inputs!$G5,""),IF(_xlfn.XLOOKUP(Inputs!$D5,Month,index_month)=H$1,Inputs!$G5,"")),""),IF(_xlfn.XLOOKUP(Inputs!$D5,Month,index_month)=H$1,Inputs!$G5,""))</f>
        <v>345</v>
      </c>
      <c r="I4" s="2">
        <f>IF(Inputs!$E5="Ends in", IF(_xlfn.XLOOKUP(Inputs!$F5,Month,index_month)&gt;=I$1, IF(Inputs!$C5="Starts in",IF(_xlfn.XLOOKUP(Inputs!$D5,Month,index_month)&lt;=I$1,Inputs!$G5,""),IF(_xlfn.XLOOKUP(Inputs!$D5,Month,index_month)=I$1,Inputs!$G5,"")),""),IF(_xlfn.XLOOKUP(Inputs!$D5,Month,index_month)=I$1,Inputs!$G5,""))</f>
        <v>345</v>
      </c>
      <c r="J4" s="2">
        <f>IF(Inputs!$E5="Ends in", IF(_xlfn.XLOOKUP(Inputs!$F5,Month,index_month)&gt;=J$1, IF(Inputs!$C5="Starts in",IF(_xlfn.XLOOKUP(Inputs!$D5,Month,index_month)&lt;=J$1,Inputs!$G5,""),IF(_xlfn.XLOOKUP(Inputs!$D5,Month,index_month)=J$1,Inputs!$G5,"")),""),IF(_xlfn.XLOOKUP(Inputs!$D5,Month,index_month)=J$1,Inputs!$G5,""))</f>
        <v>345</v>
      </c>
      <c r="K4" s="2">
        <f>IF(Inputs!$E5="Ends in", IF(_xlfn.XLOOKUP(Inputs!$F5,Month,index_month)&gt;=K$1, IF(Inputs!$C5="Starts in",IF(_xlfn.XLOOKUP(Inputs!$D5,Month,index_month)&lt;=K$1,Inputs!$G5,""),IF(_xlfn.XLOOKUP(Inputs!$D5,Month,index_month)=K$1,Inputs!$G5,"")),""),IF(_xlfn.XLOOKUP(Inputs!$D5,Month,index_month)=K$1,Inputs!$G5,""))</f>
        <v>345</v>
      </c>
      <c r="L4" s="2">
        <f>IF(Inputs!$E5="Ends in", IF(_xlfn.XLOOKUP(Inputs!$F5,Month,index_month)&gt;=L$1, IF(Inputs!$C5="Starts in",IF(_xlfn.XLOOKUP(Inputs!$D5,Month,index_month)&lt;=L$1,Inputs!$G5,""),IF(_xlfn.XLOOKUP(Inputs!$D5,Month,index_month)=L$1,Inputs!$G5,"")),""),IF(_xlfn.XLOOKUP(Inputs!$D5,Month,index_month)=L$1,Inputs!$G5,""))</f>
        <v>345</v>
      </c>
      <c r="M4" s="2">
        <f>IF(Inputs!$E5="Ends in", IF(_xlfn.XLOOKUP(Inputs!$F5,Month,index_month)&gt;=M$1, IF(Inputs!$C5="Starts in",IF(_xlfn.XLOOKUP(Inputs!$D5,Month,index_month)&lt;=M$1,Inputs!$G5,""),IF(_xlfn.XLOOKUP(Inputs!$D5,Month,index_month)=M$1,Inputs!$G5,"")),""),IF(_xlfn.XLOOKUP(Inputs!$D5,Month,index_month)=M$1,Inputs!$G5,""))</f>
        <v>345</v>
      </c>
      <c r="N4" s="27">
        <f>IF(Inputs!$E5="Ends in", IF(_xlfn.XLOOKUP(Inputs!$F5,Month,index_month)&gt;=N$1, IF(Inputs!$C5="Starts in",IF(_xlfn.XLOOKUP(Inputs!$D5,Month,index_month)&lt;=N$1,Inputs!$G5,""),IF(_xlfn.XLOOKUP(Inputs!$D5,Month,index_month)=N$1,Inputs!$G5,"")),""),IF(_xlfn.XLOOKUP(Inputs!$D5,Month,index_month)=N$1,Inputs!$G5,""))</f>
        <v>345</v>
      </c>
    </row>
    <row r="5" spans="2:14" x14ac:dyDescent="0.3">
      <c r="B5" s="23" t="str">
        <f>Inputs!B6</f>
        <v>Water revenues</v>
      </c>
      <c r="C5" s="2">
        <f>IF(Inputs!$E6="Ends in", IF(_xlfn.XLOOKUP(Inputs!$F6,Month,index_month)&gt;=C$1, IF(Inputs!$C6="Starts in",IF(_xlfn.XLOOKUP(Inputs!$D6,Month,index_month)&lt;=C$1,Inputs!$G6*tenants1,""),IF(_xlfn.XLOOKUP(Inputs!$D6,Month,index_month)=C$1,Inputs!$G6,"")),""),IF(_xlfn.XLOOKUP(Inputs!$D6,Month,index_month)=C$1,Inputs!$G6,""))</f>
        <v>20</v>
      </c>
      <c r="D5" s="2">
        <f>IF(Inputs!$E6="Ends in", IF(_xlfn.XLOOKUP(Inputs!$F6,Month,index_month)&gt;=D$1, IF(Inputs!$C6="Starts in",IF(_xlfn.XLOOKUP(Inputs!$D6,Month,index_month)&lt;=D$1,Inputs!$G6*tenants1,""),IF(_xlfn.XLOOKUP(Inputs!$D6,Month,index_month)=D$1,Inputs!$G6,"")),""),IF(_xlfn.XLOOKUP(Inputs!$D6,Month,index_month)=D$1,Inputs!$G6,""))</f>
        <v>20</v>
      </c>
      <c r="E5" s="2">
        <f>IF(Inputs!$E6="Ends in", IF(_xlfn.XLOOKUP(Inputs!$F6,Month,index_month)&gt;=E$1, IF(Inputs!$C6="Starts in",IF(_xlfn.XLOOKUP(Inputs!$D6,Month,index_month)&lt;=E$1,Inputs!$G6*tenants1,""),IF(_xlfn.XLOOKUP(Inputs!$D6,Month,index_month)=E$1,Inputs!$G6,"")),""),IF(_xlfn.XLOOKUP(Inputs!$D6,Month,index_month)=E$1,Inputs!$G6,""))</f>
        <v>20</v>
      </c>
      <c r="F5" s="2">
        <f>IF(Inputs!$E6="Ends in", IF(_xlfn.XLOOKUP(Inputs!$F6,Month,index_month)&gt;=F$1, IF(Inputs!$C6="Starts in",IF(_xlfn.XLOOKUP(Inputs!$D6,Month,index_month)&lt;=F$1,Inputs!$G6*tenants1,""),IF(_xlfn.XLOOKUP(Inputs!$D6,Month,index_month)=F$1,Inputs!$G6,"")),""),IF(_xlfn.XLOOKUP(Inputs!$D6,Month,index_month)=F$1,Inputs!$G6,""))</f>
        <v>20</v>
      </c>
      <c r="G5" s="2">
        <f>IF(Inputs!$E6="Ends in", IF(_xlfn.XLOOKUP(Inputs!$F6,Month,index_month)&gt;=G$1, IF(Inputs!$C6="Starts in",IF(_xlfn.XLOOKUP(Inputs!$D6,Month,index_month)&lt;=G$1,Inputs!$G6*tenants1,""),IF(_xlfn.XLOOKUP(Inputs!$D6,Month,index_month)=G$1,Inputs!$G6,"")),""),IF(_xlfn.XLOOKUP(Inputs!$D6,Month,index_month)=G$1,Inputs!$G6,""))</f>
        <v>20</v>
      </c>
      <c r="H5" s="2">
        <f>IF(Inputs!$E6="Ends in", IF(_xlfn.XLOOKUP(Inputs!$F6,Month,index_month)&gt;=H$1, IF(Inputs!$C6="Starts in",IF(_xlfn.XLOOKUP(Inputs!$D6,Month,index_month)&lt;=H$1,Inputs!$G6*tenants1,""),IF(_xlfn.XLOOKUP(Inputs!$D6,Month,index_month)=H$1,Inputs!$G6,"")),""),IF(_xlfn.XLOOKUP(Inputs!$D6,Month,index_month)=H$1,Inputs!$G6,""))</f>
        <v>20</v>
      </c>
      <c r="I5" s="2">
        <f>IF(Inputs!$E6="Ends in", IF(_xlfn.XLOOKUP(Inputs!$F6,Month,index_month)&gt;=I$1, IF(Inputs!$C6="Starts in",IF(_xlfn.XLOOKUP(Inputs!$D6,Month,index_month)&lt;=I$1,Inputs!$G6*tenants1,""),IF(_xlfn.XLOOKUP(Inputs!$D6,Month,index_month)=I$1,Inputs!$G6,"")),""),IF(_xlfn.XLOOKUP(Inputs!$D6,Month,index_month)=I$1,Inputs!$G6,""))</f>
        <v>20</v>
      </c>
      <c r="J5" s="2">
        <f>IF(Inputs!$E6="Ends in", IF(_xlfn.XLOOKUP(Inputs!$F6,Month,index_month)&gt;=J$1, IF(Inputs!$C6="Starts in",IF(_xlfn.XLOOKUP(Inputs!$D6,Month,index_month)&lt;=J$1,Inputs!$G6*tenants1,""),IF(_xlfn.XLOOKUP(Inputs!$D6,Month,index_month)=J$1,Inputs!$G6,"")),""),IF(_xlfn.XLOOKUP(Inputs!$D6,Month,index_month)=J$1,Inputs!$G6,""))</f>
        <v>20</v>
      </c>
      <c r="K5" s="2">
        <f>IF(Inputs!$E6="Ends in", IF(_xlfn.XLOOKUP(Inputs!$F6,Month,index_month)&gt;=K$1, IF(Inputs!$C6="Starts in",IF(_xlfn.XLOOKUP(Inputs!$D6,Month,index_month)&lt;=K$1,Inputs!$G6*tenants1,""),IF(_xlfn.XLOOKUP(Inputs!$D6,Month,index_month)=K$1,Inputs!$G6,"")),""),IF(_xlfn.XLOOKUP(Inputs!$D6,Month,index_month)=K$1,Inputs!$G6,""))</f>
        <v>20</v>
      </c>
      <c r="L5" s="2">
        <f>IF(Inputs!$E6="Ends in", IF(_xlfn.XLOOKUP(Inputs!$F6,Month,index_month)&gt;=L$1, IF(Inputs!$C6="Starts in",IF(_xlfn.XLOOKUP(Inputs!$D6,Month,index_month)&lt;=L$1,Inputs!$G6*tenants1,""),IF(_xlfn.XLOOKUP(Inputs!$D6,Month,index_month)=L$1,Inputs!$G6,"")),""),IF(_xlfn.XLOOKUP(Inputs!$D6,Month,index_month)=L$1,Inputs!$G6,""))</f>
        <v>20</v>
      </c>
      <c r="M5" s="2">
        <f>IF(Inputs!$E6="Ends in", IF(_xlfn.XLOOKUP(Inputs!$F6,Month,index_month)&gt;=M$1, IF(Inputs!$C6="Starts in",IF(_xlfn.XLOOKUP(Inputs!$D6,Month,index_month)&lt;=M$1,Inputs!$G6*tenants1,""),IF(_xlfn.XLOOKUP(Inputs!$D6,Month,index_month)=M$1,Inputs!$G6,"")),""),IF(_xlfn.XLOOKUP(Inputs!$D6,Month,index_month)=M$1,Inputs!$G6,""))</f>
        <v>20</v>
      </c>
      <c r="N5" s="27">
        <f>IF(Inputs!$E6="Ends in", IF(_xlfn.XLOOKUP(Inputs!$F6,Month,index_month)&gt;=N$1, IF(Inputs!$C6="Starts in",IF(_xlfn.XLOOKUP(Inputs!$D6,Month,index_month)&lt;=N$1,Inputs!$G6*tenants1,""),IF(_xlfn.XLOOKUP(Inputs!$D6,Month,index_month)=N$1,Inputs!$G6,"")),""),IF(_xlfn.XLOOKUP(Inputs!$D6,Month,index_month)=N$1,Inputs!$G6,""))</f>
        <v>20</v>
      </c>
    </row>
    <row r="6" spans="2:14" x14ac:dyDescent="0.3">
      <c r="B6" s="23" t="str">
        <f>Inputs!B7</f>
        <v>Water payment</v>
      </c>
      <c r="C6" s="2">
        <f>IF(Inputs!$E7="Ends in", IF(_xlfn.XLOOKUP(Inputs!$F7,Month,index_month)&gt;=C$1, IF(Inputs!$C7="Starts in",IF(_xlfn.XLOOKUP(Inputs!$D7,Month,index_month)&lt;=C$1,Inputs!$G7*tenants1,""),IF(_xlfn.XLOOKUP(Inputs!$D7,Month,index_month)=C$1,Inputs!$G7,"")),""),IF(_xlfn.XLOOKUP(Inputs!$D7,Month,index_month)=C$1,Inputs!$G7,""))</f>
        <v>-20</v>
      </c>
      <c r="D6" s="2">
        <f>IF(Inputs!$E7="Ends in", IF(_xlfn.XLOOKUP(Inputs!$F7,Month,index_month)&gt;=D$1, IF(Inputs!$C7="Starts in",IF(_xlfn.XLOOKUP(Inputs!$D7,Month,index_month)&lt;=D$1,Inputs!$G7*tenants1,""),IF(_xlfn.XLOOKUP(Inputs!$D7,Month,index_month)=D$1,Inputs!$G7,"")),""),IF(_xlfn.XLOOKUP(Inputs!$D7,Month,index_month)=D$1,Inputs!$G7,""))</f>
        <v>-20</v>
      </c>
      <c r="E6" s="2">
        <f>IF(Inputs!$E7="Ends in", IF(_xlfn.XLOOKUP(Inputs!$F7,Month,index_month)&gt;=E$1, IF(Inputs!$C7="Starts in",IF(_xlfn.XLOOKUP(Inputs!$D7,Month,index_month)&lt;=E$1,Inputs!$G7*tenants1,""),IF(_xlfn.XLOOKUP(Inputs!$D7,Month,index_month)=E$1,Inputs!$G7,"")),""),IF(_xlfn.XLOOKUP(Inputs!$D7,Month,index_month)=E$1,Inputs!$G7,""))</f>
        <v>-20</v>
      </c>
      <c r="F6" s="2">
        <f>IF(Inputs!$E7="Ends in", IF(_xlfn.XLOOKUP(Inputs!$F7,Month,index_month)&gt;=F$1, IF(Inputs!$C7="Starts in",IF(_xlfn.XLOOKUP(Inputs!$D7,Month,index_month)&lt;=F$1,Inputs!$G7*tenants1,""),IF(_xlfn.XLOOKUP(Inputs!$D7,Month,index_month)=F$1,Inputs!$G7,"")),""),IF(_xlfn.XLOOKUP(Inputs!$D7,Month,index_month)=F$1,Inputs!$G7,""))</f>
        <v>-20</v>
      </c>
      <c r="G6" s="2">
        <f>IF(Inputs!$E7="Ends in", IF(_xlfn.XLOOKUP(Inputs!$F7,Month,index_month)&gt;=G$1, IF(Inputs!$C7="Starts in",IF(_xlfn.XLOOKUP(Inputs!$D7,Month,index_month)&lt;=G$1,Inputs!$G7*tenants1,""),IF(_xlfn.XLOOKUP(Inputs!$D7,Month,index_month)=G$1,Inputs!$G7,"")),""),IF(_xlfn.XLOOKUP(Inputs!$D7,Month,index_month)=G$1,Inputs!$G7,""))</f>
        <v>-20</v>
      </c>
      <c r="H6" s="2">
        <f>IF(Inputs!$E7="Ends in", IF(_xlfn.XLOOKUP(Inputs!$F7,Month,index_month)&gt;=H$1, IF(Inputs!$C7="Starts in",IF(_xlfn.XLOOKUP(Inputs!$D7,Month,index_month)&lt;=H$1,Inputs!$G7*tenants1,""),IF(_xlfn.XLOOKUP(Inputs!$D7,Month,index_month)=H$1,Inputs!$G7,"")),""),IF(_xlfn.XLOOKUP(Inputs!$D7,Month,index_month)=H$1,Inputs!$G7,""))</f>
        <v>-20</v>
      </c>
      <c r="I6" s="2">
        <f>IF(Inputs!$E7="Ends in", IF(_xlfn.XLOOKUP(Inputs!$F7,Month,index_month)&gt;=I$1, IF(Inputs!$C7="Starts in",IF(_xlfn.XLOOKUP(Inputs!$D7,Month,index_month)&lt;=I$1,Inputs!$G7*tenants1,""),IF(_xlfn.XLOOKUP(Inputs!$D7,Month,index_month)=I$1,Inputs!$G7,"")),""),IF(_xlfn.XLOOKUP(Inputs!$D7,Month,index_month)=I$1,Inputs!$G7,""))</f>
        <v>-20</v>
      </c>
      <c r="J6" s="2">
        <f>IF(Inputs!$E7="Ends in", IF(_xlfn.XLOOKUP(Inputs!$F7,Month,index_month)&gt;=J$1, IF(Inputs!$C7="Starts in",IF(_xlfn.XLOOKUP(Inputs!$D7,Month,index_month)&lt;=J$1,Inputs!$G7*tenants1,""),IF(_xlfn.XLOOKUP(Inputs!$D7,Month,index_month)=J$1,Inputs!$G7,"")),""),IF(_xlfn.XLOOKUP(Inputs!$D7,Month,index_month)=J$1,Inputs!$G7,""))</f>
        <v>-20</v>
      </c>
      <c r="K6" s="2">
        <f>IF(Inputs!$E7="Ends in", IF(_xlfn.XLOOKUP(Inputs!$F7,Month,index_month)&gt;=K$1, IF(Inputs!$C7="Starts in",IF(_xlfn.XLOOKUP(Inputs!$D7,Month,index_month)&lt;=K$1,Inputs!$G7*tenants1,""),IF(_xlfn.XLOOKUP(Inputs!$D7,Month,index_month)=K$1,Inputs!$G7,"")),""),IF(_xlfn.XLOOKUP(Inputs!$D7,Month,index_month)=K$1,Inputs!$G7,""))</f>
        <v>-20</v>
      </c>
      <c r="L6" s="2">
        <f>IF(Inputs!$E7="Ends in", IF(_xlfn.XLOOKUP(Inputs!$F7,Month,index_month)&gt;=L$1, IF(Inputs!$C7="Starts in",IF(_xlfn.XLOOKUP(Inputs!$D7,Month,index_month)&lt;=L$1,Inputs!$G7*tenants1,""),IF(_xlfn.XLOOKUP(Inputs!$D7,Month,index_month)=L$1,Inputs!$G7,"")),""),IF(_xlfn.XLOOKUP(Inputs!$D7,Month,index_month)=L$1,Inputs!$G7,""))</f>
        <v>-20</v>
      </c>
      <c r="M6" s="2">
        <f>IF(Inputs!$E7="Ends in", IF(_xlfn.XLOOKUP(Inputs!$F7,Month,index_month)&gt;=M$1, IF(Inputs!$C7="Starts in",IF(_xlfn.XLOOKUP(Inputs!$D7,Month,index_month)&lt;=M$1,Inputs!$G7*tenants1,""),IF(_xlfn.XLOOKUP(Inputs!$D7,Month,index_month)=M$1,Inputs!$G7,"")),""),IF(_xlfn.XLOOKUP(Inputs!$D7,Month,index_month)=M$1,Inputs!$G7,""))</f>
        <v>-20</v>
      </c>
      <c r="N6" s="27">
        <f>IF(Inputs!$E7="Ends in", IF(_xlfn.XLOOKUP(Inputs!$F7,Month,index_month)&gt;=N$1, IF(Inputs!$C7="Starts in",IF(_xlfn.XLOOKUP(Inputs!$D7,Month,index_month)&lt;=N$1,Inputs!$G7*tenants1,""),IF(_xlfn.XLOOKUP(Inputs!$D7,Month,index_month)=N$1,Inputs!$G7,"")),""),IF(_xlfn.XLOOKUP(Inputs!$D7,Month,index_month)=N$1,Inputs!$G7,""))</f>
        <v>-20</v>
      </c>
    </row>
    <row r="7" spans="2:14" x14ac:dyDescent="0.3">
      <c r="B7" s="23" t="str">
        <f>Inputs!B8</f>
        <v>Condominium</v>
      </c>
      <c r="C7" s="2">
        <f>IF(Inputs!$E8="Ends in", IF(_xlfn.XLOOKUP(Inputs!$F8,Month,index_month)&gt;=C$1, IF(Inputs!$C8="Starts in",IF(_xlfn.XLOOKUP(Inputs!$D8,Month,index_month)&lt;=C$1,Inputs!$G8,""),IF(_xlfn.XLOOKUP(Inputs!$D8,Month,index_month)=C$1,Inputs!$G8,"")),""),IF(_xlfn.XLOOKUP(Inputs!$D8,Month,index_month)=C$1,Inputs!$G8,""))</f>
        <v>-122</v>
      </c>
      <c r="D7" s="2">
        <f>IF(Inputs!$E8="Ends in", IF(_xlfn.XLOOKUP(Inputs!$F8,Month,index_month)&gt;=D$1, IF(Inputs!$C8="Starts in",IF(_xlfn.XLOOKUP(Inputs!$D8,Month,index_month)&lt;=D$1,Inputs!$G8,""),IF(_xlfn.XLOOKUP(Inputs!$D8,Month,index_month)=D$1,Inputs!$G8,"")),""),IF(_xlfn.XLOOKUP(Inputs!$D8,Month,index_month)=D$1,Inputs!$G8,""))</f>
        <v>-122</v>
      </c>
      <c r="E7" s="2">
        <f>IF(Inputs!$E8="Ends in", IF(_xlfn.XLOOKUP(Inputs!$F8,Month,index_month)&gt;=E$1, IF(Inputs!$C8="Starts in",IF(_xlfn.XLOOKUP(Inputs!$D8,Month,index_month)&lt;=E$1,Inputs!$G8,""),IF(_xlfn.XLOOKUP(Inputs!$D8,Month,index_month)=E$1,Inputs!$G8,"")),""),IF(_xlfn.XLOOKUP(Inputs!$D8,Month,index_month)=E$1,Inputs!$G8,""))</f>
        <v>-122</v>
      </c>
      <c r="F7" s="2">
        <f>IF(Inputs!$E8="Ends in", IF(_xlfn.XLOOKUP(Inputs!$F8,Month,index_month)&gt;=F$1, IF(Inputs!$C8="Starts in",IF(_xlfn.XLOOKUP(Inputs!$D8,Month,index_month)&lt;=F$1,Inputs!$G8,""),IF(_xlfn.XLOOKUP(Inputs!$D8,Month,index_month)=F$1,Inputs!$G8,"")),""),IF(_xlfn.XLOOKUP(Inputs!$D8,Month,index_month)=F$1,Inputs!$G8,""))</f>
        <v>-122</v>
      </c>
      <c r="G7" s="2">
        <f>IF(Inputs!$E8="Ends in", IF(_xlfn.XLOOKUP(Inputs!$F8,Month,index_month)&gt;=G$1, IF(Inputs!$C8="Starts in",IF(_xlfn.XLOOKUP(Inputs!$D8,Month,index_month)&lt;=G$1,Inputs!$G8,""),IF(_xlfn.XLOOKUP(Inputs!$D8,Month,index_month)=G$1,Inputs!$G8,"")),""),IF(_xlfn.XLOOKUP(Inputs!$D8,Month,index_month)=G$1,Inputs!$G8,""))</f>
        <v>-122</v>
      </c>
      <c r="H7" s="2">
        <f>IF(Inputs!$E8="Ends in", IF(_xlfn.XLOOKUP(Inputs!$F8,Month,index_month)&gt;=H$1, IF(Inputs!$C8="Starts in",IF(_xlfn.XLOOKUP(Inputs!$D8,Month,index_month)&lt;=H$1,Inputs!$G8,""),IF(_xlfn.XLOOKUP(Inputs!$D8,Month,index_month)=H$1,Inputs!$G8,"")),""),IF(_xlfn.XLOOKUP(Inputs!$D8,Month,index_month)=H$1,Inputs!$G8,""))</f>
        <v>-122</v>
      </c>
      <c r="I7" s="2">
        <f>IF(Inputs!$E8="Ends in", IF(_xlfn.XLOOKUP(Inputs!$F8,Month,index_month)&gt;=I$1, IF(Inputs!$C8="Starts in",IF(_xlfn.XLOOKUP(Inputs!$D8,Month,index_month)&lt;=I$1,Inputs!$G8,""),IF(_xlfn.XLOOKUP(Inputs!$D8,Month,index_month)=I$1,Inputs!$G8,"")),""),IF(_xlfn.XLOOKUP(Inputs!$D8,Month,index_month)=I$1,Inputs!$G8,""))</f>
        <v>-122</v>
      </c>
      <c r="J7" s="2">
        <f>IF(Inputs!$E8="Ends in", IF(_xlfn.XLOOKUP(Inputs!$F8,Month,index_month)&gt;=J$1, IF(Inputs!$C8="Starts in",IF(_xlfn.XLOOKUP(Inputs!$D8,Month,index_month)&lt;=J$1,Inputs!$G8,""),IF(_xlfn.XLOOKUP(Inputs!$D8,Month,index_month)=J$1,Inputs!$G8,"")),""),IF(_xlfn.XLOOKUP(Inputs!$D8,Month,index_month)=J$1,Inputs!$G8,""))</f>
        <v>-122</v>
      </c>
      <c r="K7" s="2">
        <f>IF(Inputs!$E8="Ends in", IF(_xlfn.XLOOKUP(Inputs!$F8,Month,index_month)&gt;=K$1, IF(Inputs!$C8="Starts in",IF(_xlfn.XLOOKUP(Inputs!$D8,Month,index_month)&lt;=K$1,Inputs!$G8,""),IF(_xlfn.XLOOKUP(Inputs!$D8,Month,index_month)=K$1,Inputs!$G8,"")),""),IF(_xlfn.XLOOKUP(Inputs!$D8,Month,index_month)=K$1,Inputs!$G8,""))</f>
        <v>-122</v>
      </c>
      <c r="L7" s="2">
        <f>IF(Inputs!$E8="Ends in", IF(_xlfn.XLOOKUP(Inputs!$F8,Month,index_month)&gt;=L$1, IF(Inputs!$C8="Starts in",IF(_xlfn.XLOOKUP(Inputs!$D8,Month,index_month)&lt;=L$1,Inputs!$G8,""),IF(_xlfn.XLOOKUP(Inputs!$D8,Month,index_month)=L$1,Inputs!$G8,"")),""),IF(_xlfn.XLOOKUP(Inputs!$D8,Month,index_month)=L$1,Inputs!$G8,""))</f>
        <v>-122</v>
      </c>
      <c r="M7" s="2">
        <f>IF(Inputs!$E8="Ends in", IF(_xlfn.XLOOKUP(Inputs!$F8,Month,index_month)&gt;=M$1, IF(Inputs!$C8="Starts in",IF(_xlfn.XLOOKUP(Inputs!$D8,Month,index_month)&lt;=M$1,Inputs!$G8,""),IF(_xlfn.XLOOKUP(Inputs!$D8,Month,index_month)=M$1,Inputs!$G8,"")),""),IF(_xlfn.XLOOKUP(Inputs!$D8,Month,index_month)=M$1,Inputs!$G8,""))</f>
        <v>-122</v>
      </c>
      <c r="N7" s="27">
        <f>IF(Inputs!$E8="Ends in", IF(_xlfn.XLOOKUP(Inputs!$F8,Month,index_month)&gt;=N$1, IF(Inputs!$C8="Starts in",IF(_xlfn.XLOOKUP(Inputs!$D8,Month,index_month)&lt;=N$1,Inputs!$G8,""),IF(_xlfn.XLOOKUP(Inputs!$D8,Month,index_month)=N$1,Inputs!$G8,"")),""),IF(_xlfn.XLOOKUP(Inputs!$D8,Month,index_month)=N$1,Inputs!$G8,""))</f>
        <v>-122</v>
      </c>
    </row>
    <row r="8" spans="2:14" x14ac:dyDescent="0.3">
      <c r="B8" s="23" t="str">
        <f>Inputs!B9</f>
        <v>Loan repayment</v>
      </c>
      <c r="C8" s="2">
        <f>IF(Inputs!$E9="Ends in", IF(_xlfn.XLOOKUP(Inputs!$F9,Month,index_month)&gt;=C$1, IF(Inputs!$C9="Starts in",IF(_xlfn.XLOOKUP(Inputs!$D9,Month,index_month)&lt;=C$1,Inputs!$G9,""),IF(_xlfn.XLOOKUP(Inputs!$D9,Month,index_month)=C$1,Inputs!$G9,"")),""),IF(_xlfn.XLOOKUP(Inputs!$D9,Month,index_month)=C$1,Inputs!$G9,""))</f>
        <v>-43</v>
      </c>
      <c r="D8" s="2">
        <f>IF(Inputs!$E9="Ends in", IF(_xlfn.XLOOKUP(Inputs!$F9,Month,index_month)&gt;=D$1, IF(Inputs!$C9="Starts in",IF(_xlfn.XLOOKUP(Inputs!$D9,Month,index_month)&lt;=D$1,Inputs!$G9,""),IF(_xlfn.XLOOKUP(Inputs!$D9,Month,index_month)=D$1,Inputs!$G9,"")),""),IF(_xlfn.XLOOKUP(Inputs!$D9,Month,index_month)=D$1,Inputs!$G9,""))</f>
        <v>-43</v>
      </c>
      <c r="E8" s="2">
        <f>IF(Inputs!$E9="Ends in", IF(_xlfn.XLOOKUP(Inputs!$F9,Month,index_month)&gt;=E$1, IF(Inputs!$C9="Starts in",IF(_xlfn.XLOOKUP(Inputs!$D9,Month,index_month)&lt;=E$1,Inputs!$G9,""),IF(_xlfn.XLOOKUP(Inputs!$D9,Month,index_month)=E$1,Inputs!$G9,"")),""),IF(_xlfn.XLOOKUP(Inputs!$D9,Month,index_month)=E$1,Inputs!$G9,""))</f>
        <v>-43</v>
      </c>
      <c r="F8" s="2">
        <f>IF(Inputs!$E9="Ends in", IF(_xlfn.XLOOKUP(Inputs!$F9,Month,index_month)&gt;=F$1, IF(Inputs!$C9="Starts in",IF(_xlfn.XLOOKUP(Inputs!$D9,Month,index_month)&lt;=F$1,Inputs!$G9,""),IF(_xlfn.XLOOKUP(Inputs!$D9,Month,index_month)=F$1,Inputs!$G9,"")),""),IF(_xlfn.XLOOKUP(Inputs!$D9,Month,index_month)=F$1,Inputs!$G9,""))</f>
        <v>-43</v>
      </c>
      <c r="G8" s="2">
        <f>IF(Inputs!$E9="Ends in", IF(_xlfn.XLOOKUP(Inputs!$F9,Month,index_month)&gt;=G$1, IF(Inputs!$C9="Starts in",IF(_xlfn.XLOOKUP(Inputs!$D9,Month,index_month)&lt;=G$1,Inputs!$G9,""),IF(_xlfn.XLOOKUP(Inputs!$D9,Month,index_month)=G$1,Inputs!$G9,"")),""),IF(_xlfn.XLOOKUP(Inputs!$D9,Month,index_month)=G$1,Inputs!$G9,""))</f>
        <v>-43</v>
      </c>
      <c r="H8" s="2">
        <f>IF(Inputs!$E9="Ends in", IF(_xlfn.XLOOKUP(Inputs!$F9,Month,index_month)&gt;=H$1, IF(Inputs!$C9="Starts in",IF(_xlfn.XLOOKUP(Inputs!$D9,Month,index_month)&lt;=H$1,Inputs!$G9,""),IF(_xlfn.XLOOKUP(Inputs!$D9,Month,index_month)=H$1,Inputs!$G9,"")),""),IF(_xlfn.XLOOKUP(Inputs!$D9,Month,index_month)=H$1,Inputs!$G9,""))</f>
        <v>-43</v>
      </c>
      <c r="I8" s="2">
        <f>IF(Inputs!$E9="Ends in", IF(_xlfn.XLOOKUP(Inputs!$F9,Month,index_month)&gt;=I$1, IF(Inputs!$C9="Starts in",IF(_xlfn.XLOOKUP(Inputs!$D9,Month,index_month)&lt;=I$1,Inputs!$G9,""),IF(_xlfn.XLOOKUP(Inputs!$D9,Month,index_month)=I$1,Inputs!$G9,"")),""),IF(_xlfn.XLOOKUP(Inputs!$D9,Month,index_month)=I$1,Inputs!$G9,""))</f>
        <v>-43</v>
      </c>
      <c r="J8" s="2">
        <f>IF(Inputs!$E9="Ends in", IF(_xlfn.XLOOKUP(Inputs!$F9,Month,index_month)&gt;=J$1, IF(Inputs!$C9="Starts in",IF(_xlfn.XLOOKUP(Inputs!$D9,Month,index_month)&lt;=J$1,Inputs!$G9,""),IF(_xlfn.XLOOKUP(Inputs!$D9,Month,index_month)=J$1,Inputs!$G9,"")),""),IF(_xlfn.XLOOKUP(Inputs!$D9,Month,index_month)=J$1,Inputs!$G9,""))</f>
        <v>-43</v>
      </c>
      <c r="K8" s="2">
        <f>IF(Inputs!$E9="Ends in", IF(_xlfn.XLOOKUP(Inputs!$F9,Month,index_month)&gt;=K$1, IF(Inputs!$C9="Starts in",IF(_xlfn.XLOOKUP(Inputs!$D9,Month,index_month)&lt;=K$1,Inputs!$G9,""),IF(_xlfn.XLOOKUP(Inputs!$D9,Month,index_month)=K$1,Inputs!$G9,"")),""),IF(_xlfn.XLOOKUP(Inputs!$D9,Month,index_month)=K$1,Inputs!$G9,""))</f>
        <v>-43</v>
      </c>
      <c r="L8" s="2">
        <f>IF(Inputs!$E9="Ends in", IF(_xlfn.XLOOKUP(Inputs!$F9,Month,index_month)&gt;=L$1, IF(Inputs!$C9="Starts in",IF(_xlfn.XLOOKUP(Inputs!$D9,Month,index_month)&lt;=L$1,Inputs!$G9,""),IF(_xlfn.XLOOKUP(Inputs!$D9,Month,index_month)=L$1,Inputs!$G9,"")),""),IF(_xlfn.XLOOKUP(Inputs!$D9,Month,index_month)=L$1,Inputs!$G9,""))</f>
        <v>-43</v>
      </c>
      <c r="M8" s="2">
        <f>IF(Inputs!$E9="Ends in", IF(_xlfn.XLOOKUP(Inputs!$F9,Month,index_month)&gt;=M$1, IF(Inputs!$C9="Starts in",IF(_xlfn.XLOOKUP(Inputs!$D9,Month,index_month)&lt;=M$1,Inputs!$G9,""),IF(_xlfn.XLOOKUP(Inputs!$D9,Month,index_month)=M$1,Inputs!$G9,"")),""),IF(_xlfn.XLOOKUP(Inputs!$D9,Month,index_month)=M$1,Inputs!$G9,""))</f>
        <v>-43</v>
      </c>
      <c r="N8" s="27">
        <f>IF(Inputs!$E9="Ends in", IF(_xlfn.XLOOKUP(Inputs!$F9,Month,index_month)&gt;=N$1, IF(Inputs!$C9="Starts in",IF(_xlfn.XLOOKUP(Inputs!$D9,Month,index_month)&lt;=N$1,Inputs!$G9,""),IF(_xlfn.XLOOKUP(Inputs!$D9,Month,index_month)=N$1,Inputs!$G9,"")),""),IF(_xlfn.XLOOKUP(Inputs!$D9,Month,index_month)=N$1,Inputs!$G9,""))</f>
        <v>-43</v>
      </c>
    </row>
    <row r="9" spans="2:14" ht="15" thickBot="1" x14ac:dyDescent="0.35">
      <c r="B9" s="24" t="str">
        <f>Inputs!B10</f>
        <v>New fridge</v>
      </c>
      <c r="C9" s="3" t="str">
        <f>IF(Inputs!$E10="Ends in", IF(_xlfn.XLOOKUP(Inputs!$F10,Month,index_month)&gt;=C$1, IF(Inputs!$C10="Starts in",IF(_xlfn.XLOOKUP('Sensitivity analysis'!$G2,Month,index_month)&lt;=C$1,Inputs!$G10,""),IF(_xlfn.XLOOKUP('Sensitivity analysis'!$G2,Month,index_month)=C$1,Inputs!$G10,"")),""),IF(_xlfn.XLOOKUP('Sensitivity analysis'!$G2,Month,index_month)=C$1,Inputs!$G10,""))</f>
        <v/>
      </c>
      <c r="D9" s="3" t="str">
        <f>IF(Inputs!$E10="Ends in", IF(_xlfn.XLOOKUP(Inputs!$F10,Month,index_month)&gt;=D$1, IF(Inputs!$C10="Starts in",IF(_xlfn.XLOOKUP('Sensitivity analysis'!$G2,Month,index_month)&lt;=D$1,Inputs!$G10,""),IF(_xlfn.XLOOKUP('Sensitivity analysis'!$G2,Month,index_month)=D$1,Inputs!$G10,"")),""),IF(_xlfn.XLOOKUP('Sensitivity analysis'!$G2,Month,index_month)=D$1,Inputs!$G10,""))</f>
        <v/>
      </c>
      <c r="E9" s="3">
        <f>IF(Inputs!$E10="Ends in", IF(_xlfn.XLOOKUP(Inputs!$F10,Month,index_month)&gt;=E$1, IF(Inputs!$C10="Starts in",IF(_xlfn.XLOOKUP('Sensitivity analysis'!$G2,Month,index_month)&lt;=E$1,Inputs!$G10,""),IF(_xlfn.XLOOKUP('Sensitivity analysis'!$G2,Month,index_month)=E$1,Inputs!$G10,"")),""),IF(_xlfn.XLOOKUP('Sensitivity analysis'!$G2,Month,index_month)=E$1,Inputs!$G10,""))</f>
        <v>-700</v>
      </c>
      <c r="F9" s="3" t="str">
        <f>IF(Inputs!$E10="Ends in", IF(_xlfn.XLOOKUP(Inputs!$F10,Month,index_month)&gt;=F$1, IF(Inputs!$C10="Starts in",IF(_xlfn.XLOOKUP('Sensitivity analysis'!$G2,Month,index_month)&lt;=F$1,Inputs!$G10,""),IF(_xlfn.XLOOKUP('Sensitivity analysis'!$G2,Month,index_month)=F$1,Inputs!$G10,"")),""),IF(_xlfn.XLOOKUP('Sensitivity analysis'!$G2,Month,index_month)=F$1,Inputs!$G10,""))</f>
        <v/>
      </c>
      <c r="G9" s="3" t="str">
        <f>IF(Inputs!$E10="Ends in", IF(_xlfn.XLOOKUP(Inputs!$F10,Month,index_month)&gt;=G$1, IF(Inputs!$C10="Starts in",IF(_xlfn.XLOOKUP('Sensitivity analysis'!$G2,Month,index_month)&lt;=G$1,Inputs!$G10,""),IF(_xlfn.XLOOKUP('Sensitivity analysis'!$G2,Month,index_month)=G$1,Inputs!$G10,"")),""),IF(_xlfn.XLOOKUP('Sensitivity analysis'!$G2,Month,index_month)=G$1,Inputs!$G10,""))</f>
        <v/>
      </c>
      <c r="H9" s="3" t="str">
        <f>IF(Inputs!$E10="Ends in", IF(_xlfn.XLOOKUP(Inputs!$F10,Month,index_month)&gt;=H$1, IF(Inputs!$C10="Starts in",IF(_xlfn.XLOOKUP('Sensitivity analysis'!$G2,Month,index_month)&lt;=H$1,Inputs!$G10,""),IF(_xlfn.XLOOKUP('Sensitivity analysis'!$G2,Month,index_month)=H$1,Inputs!$G10,"")),""),IF(_xlfn.XLOOKUP('Sensitivity analysis'!$G2,Month,index_month)=H$1,Inputs!$G10,""))</f>
        <v/>
      </c>
      <c r="I9" s="3" t="str">
        <f>IF(Inputs!$E10="Ends in", IF(_xlfn.XLOOKUP(Inputs!$F10,Month,index_month)&gt;=I$1, IF(Inputs!$C10="Starts in",IF(_xlfn.XLOOKUP('Sensitivity analysis'!$G2,Month,index_month)&lt;=I$1,Inputs!$G10,""),IF(_xlfn.XLOOKUP('Sensitivity analysis'!$G2,Month,index_month)=I$1,Inputs!$G10,"")),""),IF(_xlfn.XLOOKUP('Sensitivity analysis'!$G2,Month,index_month)=I$1,Inputs!$G10,""))</f>
        <v/>
      </c>
      <c r="J9" s="3" t="str">
        <f>IF(Inputs!$E10="Ends in", IF(_xlfn.XLOOKUP(Inputs!$F10,Month,index_month)&gt;=J$1, IF(Inputs!$C10="Starts in",IF(_xlfn.XLOOKUP('Sensitivity analysis'!$G2,Month,index_month)&lt;=J$1,Inputs!$G10,""),IF(_xlfn.XLOOKUP('Sensitivity analysis'!$G2,Month,index_month)=J$1,Inputs!$G10,"")),""),IF(_xlfn.XLOOKUP('Sensitivity analysis'!$G2,Month,index_month)=J$1,Inputs!$G10,""))</f>
        <v/>
      </c>
      <c r="K9" s="3" t="str">
        <f>IF(Inputs!$E10="Ends in", IF(_xlfn.XLOOKUP(Inputs!$F10,Month,index_month)&gt;=K$1, IF(Inputs!$C10="Starts in",IF(_xlfn.XLOOKUP('Sensitivity analysis'!$G2,Month,index_month)&lt;=K$1,Inputs!$G10,""),IF(_xlfn.XLOOKUP('Sensitivity analysis'!$G2,Month,index_month)=K$1,Inputs!$G10,"")),""),IF(_xlfn.XLOOKUP('Sensitivity analysis'!$G2,Month,index_month)=K$1,Inputs!$G10,""))</f>
        <v/>
      </c>
      <c r="L9" s="3" t="str">
        <f>IF(Inputs!$E10="Ends in", IF(_xlfn.XLOOKUP(Inputs!$F10,Month,index_month)&gt;=L$1, IF(Inputs!$C10="Starts in",IF(_xlfn.XLOOKUP('Sensitivity analysis'!$G2,Month,index_month)&lt;=L$1,Inputs!$G10,""),IF(_xlfn.XLOOKUP('Sensitivity analysis'!$G2,Month,index_month)=L$1,Inputs!$G10,"")),""),IF(_xlfn.XLOOKUP('Sensitivity analysis'!$G2,Month,index_month)=L$1,Inputs!$G10,""))</f>
        <v/>
      </c>
      <c r="M9" s="3" t="str">
        <f>IF(Inputs!$E10="Ends in", IF(_xlfn.XLOOKUP(Inputs!$F10,Month,index_month)&gt;=M$1, IF(Inputs!$C10="Starts in",IF(_xlfn.XLOOKUP('Sensitivity analysis'!$G2,Month,index_month)&lt;=M$1,Inputs!$G10,""),IF(_xlfn.XLOOKUP('Sensitivity analysis'!$G2,Month,index_month)=M$1,Inputs!$G10,"")),""),IF(_xlfn.XLOOKUP('Sensitivity analysis'!$G2,Month,index_month)=M$1,Inputs!$G10,""))</f>
        <v/>
      </c>
      <c r="N9" s="28" t="str">
        <f>IF(Inputs!$E10="Ends in", IF(_xlfn.XLOOKUP(Inputs!$F10,Month,index_month)&gt;=N$1, IF(Inputs!$C10="Starts in",IF(_xlfn.XLOOKUP('Sensitivity analysis'!$G2,Month,index_month)&lt;=N$1,Inputs!$G10,""),IF(_xlfn.XLOOKUP('Sensitivity analysis'!$G2,Month,index_month)=N$1,Inputs!$G10,"")),""),IF(_xlfn.XLOOKUP('Sensitivity analysis'!$G2,Month,index_month)=N$1,Inputs!$G10,""))</f>
        <v/>
      </c>
    </row>
    <row r="10" spans="2:14" ht="15" thickTop="1" x14ac:dyDescent="0.3">
      <c r="B10" t="s">
        <v>36</v>
      </c>
      <c r="C10">
        <f t="shared" ref="C10:N10" si="0">SUM(C4:C9)</f>
        <v>180</v>
      </c>
      <c r="D10" s="2">
        <f t="shared" si="0"/>
        <v>180</v>
      </c>
      <c r="E10" s="2">
        <f t="shared" si="0"/>
        <v>-520</v>
      </c>
      <c r="F10" s="2">
        <f t="shared" si="0"/>
        <v>180</v>
      </c>
      <c r="G10" s="2">
        <f t="shared" si="0"/>
        <v>180</v>
      </c>
      <c r="H10" s="2">
        <f t="shared" si="0"/>
        <v>180</v>
      </c>
      <c r="I10" s="2">
        <f t="shared" si="0"/>
        <v>180</v>
      </c>
      <c r="J10" s="2">
        <f t="shared" si="0"/>
        <v>180</v>
      </c>
      <c r="K10" s="2">
        <f t="shared" si="0"/>
        <v>180</v>
      </c>
      <c r="L10" s="2">
        <f t="shared" si="0"/>
        <v>180</v>
      </c>
      <c r="M10" s="2">
        <f t="shared" si="0"/>
        <v>180</v>
      </c>
      <c r="N10" s="2">
        <f t="shared" si="0"/>
        <v>180</v>
      </c>
    </row>
    <row r="12" spans="2:14" x14ac:dyDescent="0.3">
      <c r="B12" s="2"/>
      <c r="D12" s="2"/>
      <c r="E12" s="2"/>
      <c r="F12" s="2"/>
      <c r="G12" s="2"/>
      <c r="H12" s="2"/>
      <c r="I12" s="2"/>
      <c r="J12" s="2"/>
      <c r="K12" s="2"/>
      <c r="L12" s="2"/>
      <c r="M12" s="2"/>
      <c r="N12" s="2"/>
    </row>
    <row r="13" spans="2:14" x14ac:dyDescent="0.3">
      <c r="B13" s="26" t="s">
        <v>5</v>
      </c>
      <c r="C13" s="23" t="str" cm="1">
        <f t="array" ref="C13:N13">TRANSPOSE(Month)</f>
        <v>Jan</v>
      </c>
      <c r="D13" s="23" t="str">
        <v>Feb</v>
      </c>
      <c r="E13" s="23" t="str">
        <v>Mar</v>
      </c>
      <c r="F13" s="23" t="str">
        <v>Apr</v>
      </c>
      <c r="G13" s="23" t="str">
        <v>May</v>
      </c>
      <c r="H13" s="23" t="str">
        <v>Jun</v>
      </c>
      <c r="I13" s="23" t="str">
        <v>Jul</v>
      </c>
      <c r="J13" s="23" t="str">
        <v>Aug</v>
      </c>
      <c r="K13" s="23" t="str">
        <v>Sep</v>
      </c>
      <c r="L13" s="23" t="str">
        <v>Oct</v>
      </c>
      <c r="M13" s="23" t="str">
        <v>Nov</v>
      </c>
      <c r="N13" s="23" t="str">
        <v>Dec</v>
      </c>
    </row>
    <row r="14" spans="2:14" x14ac:dyDescent="0.3">
      <c r="B14" s="25" t="str">
        <f>Inputs!B15</f>
        <v>Rent</v>
      </c>
      <c r="C14" s="2" t="str">
        <f>IF(Inputs!$E15="Ends in", IF(_xlfn.XLOOKUP(Inputs!$F15,Month,index_month)&gt;=C$1, IF(Inputs!$C15="Starts in",IF(_xlfn.XLOOKUP(Inputs!$D15,Month,index_month)&lt;=C$1,Inputs!$G15,""),IF(_xlfn.XLOOKUP(Inputs!$D15,Month,index_month)=C$1,Inputs!$G15,"")),""),IF(_xlfn.XLOOKUP(Inputs!$D15,Month,index_month)=C$1,Inputs!$G15,""))</f>
        <v/>
      </c>
      <c r="D14" s="2" t="str">
        <f>IF(Inputs!$E15="Ends in", IF(_xlfn.XLOOKUP(Inputs!$F15,Month,index_month)&gt;=D$1, IF(Inputs!$C15="Starts in",IF(_xlfn.XLOOKUP(Inputs!$D15,Month,index_month)&lt;=D$1,Inputs!$G15,""),IF(_xlfn.XLOOKUP(Inputs!$D15,Month,index_month)=D$1,Inputs!$G15,"")),""),IF(_xlfn.XLOOKUP(Inputs!$D15,Month,index_month)=D$1,Inputs!$G15,""))</f>
        <v/>
      </c>
      <c r="E14" s="2">
        <f>IF(Inputs!$E15="Ends in", IF(_xlfn.XLOOKUP(Inputs!$F15,Month,index_month)&gt;=E$1, IF(Inputs!$C15="Starts in",IF(_xlfn.XLOOKUP(Inputs!$D15,Month,index_month)&lt;=E$1,Inputs!$G15,""),IF(_xlfn.XLOOKUP(Inputs!$D15,Month,index_month)=E$1,Inputs!$G15,"")),""),IF(_xlfn.XLOOKUP(Inputs!$D15,Month,index_month)=E$1,Inputs!$G15,""))</f>
        <v>440</v>
      </c>
      <c r="F14" s="2">
        <f>IF(Inputs!$E15="Ends in", IF(_xlfn.XLOOKUP(Inputs!$F15,Month,index_month)&gt;=F$1, IF(Inputs!$C15="Starts in",IF(_xlfn.XLOOKUP(Inputs!$D15,Month,index_month)&lt;=F$1,Inputs!$G15,""),IF(_xlfn.XLOOKUP(Inputs!$D15,Month,index_month)=F$1,Inputs!$G15,"")),""),IF(_xlfn.XLOOKUP(Inputs!$D15,Month,index_month)=F$1,Inputs!$G15,""))</f>
        <v>440</v>
      </c>
      <c r="G14" s="2">
        <f>IF(Inputs!$E15="Ends in", IF(_xlfn.XLOOKUP(Inputs!$F15,Month,index_month)&gt;=G$1, IF(Inputs!$C15="Starts in",IF(_xlfn.XLOOKUP(Inputs!$D15,Month,index_month)&lt;=G$1,Inputs!$G15,""),IF(_xlfn.XLOOKUP(Inputs!$D15,Month,index_month)=G$1,Inputs!$G15,"")),""),IF(_xlfn.XLOOKUP(Inputs!$D15,Month,index_month)=G$1,Inputs!$G15,""))</f>
        <v>440</v>
      </c>
      <c r="H14" s="2">
        <f>IF(Inputs!$E15="Ends in", IF(_xlfn.XLOOKUP(Inputs!$F15,Month,index_month)&gt;=H$1, IF(Inputs!$C15="Starts in",IF(_xlfn.XLOOKUP(Inputs!$D15,Month,index_month)&lt;=H$1,Inputs!$G15,""),IF(_xlfn.XLOOKUP(Inputs!$D15,Month,index_month)=H$1,Inputs!$G15,"")),""),IF(_xlfn.XLOOKUP(Inputs!$D15,Month,index_month)=H$1,Inputs!$G15,""))</f>
        <v>440</v>
      </c>
      <c r="I14" s="2">
        <f>IF(Inputs!$E15="Ends in", IF(_xlfn.XLOOKUP(Inputs!$F15,Month,index_month)&gt;=I$1, IF(Inputs!$C15="Starts in",IF(_xlfn.XLOOKUP(Inputs!$D15,Month,index_month)&lt;=I$1,Inputs!$G15,""),IF(_xlfn.XLOOKUP(Inputs!$D15,Month,index_month)=I$1,Inputs!$G15,"")),""),IF(_xlfn.XLOOKUP(Inputs!$D15,Month,index_month)=I$1,Inputs!$G15,""))</f>
        <v>440</v>
      </c>
      <c r="J14" s="2">
        <f>IF(Inputs!$E15="Ends in", IF(_xlfn.XLOOKUP(Inputs!$F15,Month,index_month)&gt;=J$1, IF(Inputs!$C15="Starts in",IF(_xlfn.XLOOKUP(Inputs!$D15,Month,index_month)&lt;=J$1,Inputs!$G15,""),IF(_xlfn.XLOOKUP(Inputs!$D15,Month,index_month)=J$1,Inputs!$G15,"")),""),IF(_xlfn.XLOOKUP(Inputs!$D15,Month,index_month)=J$1,Inputs!$G15,""))</f>
        <v>440</v>
      </c>
      <c r="K14" s="2">
        <f>IF(Inputs!$E15="Ends in", IF(_xlfn.XLOOKUP(Inputs!$F15,Month,index_month)&gt;=K$1, IF(Inputs!$C15="Starts in",IF(_xlfn.XLOOKUP(Inputs!$D15,Month,index_month)&lt;=K$1,Inputs!$G15,""),IF(_xlfn.XLOOKUP(Inputs!$D15,Month,index_month)=K$1,Inputs!$G15,"")),""),IF(_xlfn.XLOOKUP(Inputs!$D15,Month,index_month)=K$1,Inputs!$G15,""))</f>
        <v>440</v>
      </c>
      <c r="L14" s="2">
        <f>IF(Inputs!$E15="Ends in", IF(_xlfn.XLOOKUP(Inputs!$F15,Month,index_month)&gt;=L$1, IF(Inputs!$C15="Starts in",IF(_xlfn.XLOOKUP(Inputs!$D15,Month,index_month)&lt;=L$1,Inputs!$G15,""),IF(_xlfn.XLOOKUP(Inputs!$D15,Month,index_month)=L$1,Inputs!$G15,"")),""),IF(_xlfn.XLOOKUP(Inputs!$D15,Month,index_month)=L$1,Inputs!$G15,""))</f>
        <v>440</v>
      </c>
      <c r="M14" s="2">
        <f>IF(Inputs!$E15="Ends in", IF(_xlfn.XLOOKUP(Inputs!$F15,Month,index_month)&gt;=M$1, IF(Inputs!$C15="Starts in",IF(_xlfn.XLOOKUP(Inputs!$D15,Month,index_month)&lt;=M$1,Inputs!$G15,""),IF(_xlfn.XLOOKUP(Inputs!$D15,Month,index_month)=M$1,Inputs!$G15,"")),""),IF(_xlfn.XLOOKUP(Inputs!$D15,Month,index_month)=M$1,Inputs!$G15,""))</f>
        <v>440</v>
      </c>
      <c r="N14" s="27">
        <f>IF(Inputs!$E15="Ends in", IF(_xlfn.XLOOKUP(Inputs!$F15,Month,index_month)&gt;=N$1, IF(Inputs!$C15="Starts in",IF(_xlfn.XLOOKUP(Inputs!$D15,Month,index_month)&lt;=N$1,Inputs!$G15,""),IF(_xlfn.XLOOKUP(Inputs!$D15,Month,index_month)=N$1,Inputs!$G15,"")),""),IF(_xlfn.XLOOKUP(Inputs!$D15,Month,index_month)=N$1,Inputs!$G15,""))</f>
        <v>440</v>
      </c>
    </row>
    <row r="15" spans="2:14" x14ac:dyDescent="0.3">
      <c r="B15" s="23" t="str">
        <f>Inputs!B16</f>
        <v>Water revenues</v>
      </c>
      <c r="C15" s="2" t="str">
        <f>IF(Inputs!$E16="Ends in", IF(_xlfn.XLOOKUP(Inputs!$F16,Month,index_month)&gt;=C$1, IF(Inputs!$C16="Starts in",IF(_xlfn.XLOOKUP(Inputs!$D16,Month,index_month)&lt;=C$1,Inputs!$G16*tenants2,""),IF(_xlfn.XLOOKUP(Inputs!$D16,Month,index_month)=C$1,Inputs!$G16,"")),""),IF(_xlfn.XLOOKUP(Inputs!$D16,Month,index_month)=C$1,Inputs!$G16,""))</f>
        <v/>
      </c>
      <c r="D15" s="2" t="str">
        <f>IF(Inputs!$E16="Ends in", IF(_xlfn.XLOOKUP(Inputs!$F16,Month,index_month)&gt;=D$1, IF(Inputs!$C16="Starts in",IF(_xlfn.XLOOKUP(Inputs!$D16,Month,index_month)&lt;=D$1,Inputs!$G16*tenants2,""),IF(_xlfn.XLOOKUP(Inputs!$D16,Month,index_month)=D$1,Inputs!$G16,"")),""),IF(_xlfn.XLOOKUP(Inputs!$D16,Month,index_month)=D$1,Inputs!$G16,""))</f>
        <v/>
      </c>
      <c r="E15" s="2">
        <f>IF(Inputs!$E16="Ends in", IF(_xlfn.XLOOKUP(Inputs!$F16,Month,index_month)&gt;=E$1, IF(Inputs!$C16="Starts in",IF(_xlfn.XLOOKUP(Inputs!$D16,Month,index_month)&lt;=E$1,Inputs!$G16*tenants2,""),IF(_xlfn.XLOOKUP(Inputs!$D16,Month,index_month)=E$1,Inputs!$G16,"")),""),IF(_xlfn.XLOOKUP(Inputs!$D16,Month,index_month)=E$1,Inputs!$G16,""))</f>
        <v>0</v>
      </c>
      <c r="F15" s="2">
        <f>IF(Inputs!$E16="Ends in", IF(_xlfn.XLOOKUP(Inputs!$F16,Month,index_month)&gt;=F$1, IF(Inputs!$C16="Starts in",IF(_xlfn.XLOOKUP(Inputs!$D16,Month,index_month)&lt;=F$1,Inputs!$G16*tenants2,""),IF(_xlfn.XLOOKUP(Inputs!$D16,Month,index_month)=F$1,Inputs!$G16,"")),""),IF(_xlfn.XLOOKUP(Inputs!$D16,Month,index_month)=F$1,Inputs!$G16,""))</f>
        <v>0</v>
      </c>
      <c r="G15" s="2">
        <f>IF(Inputs!$E16="Ends in", IF(_xlfn.XLOOKUP(Inputs!$F16,Month,index_month)&gt;=G$1, IF(Inputs!$C16="Starts in",IF(_xlfn.XLOOKUP(Inputs!$D16,Month,index_month)&lt;=G$1,Inputs!$G16*tenants2,""),IF(_xlfn.XLOOKUP(Inputs!$D16,Month,index_month)=G$1,Inputs!$G16,"")),""),IF(_xlfn.XLOOKUP(Inputs!$D16,Month,index_month)=G$1,Inputs!$G16,""))</f>
        <v>0</v>
      </c>
      <c r="H15" s="2">
        <f>IF(Inputs!$E16="Ends in", IF(_xlfn.XLOOKUP(Inputs!$F16,Month,index_month)&gt;=H$1, IF(Inputs!$C16="Starts in",IF(_xlfn.XLOOKUP(Inputs!$D16,Month,index_month)&lt;=H$1,Inputs!$G16*tenants2,""),IF(_xlfn.XLOOKUP(Inputs!$D16,Month,index_month)=H$1,Inputs!$G16,"")),""),IF(_xlfn.XLOOKUP(Inputs!$D16,Month,index_month)=H$1,Inputs!$G16,""))</f>
        <v>0</v>
      </c>
      <c r="I15" s="2">
        <f>IF(Inputs!$E16="Ends in", IF(_xlfn.XLOOKUP(Inputs!$F16,Month,index_month)&gt;=I$1, IF(Inputs!$C16="Starts in",IF(_xlfn.XLOOKUP(Inputs!$D16,Month,index_month)&lt;=I$1,Inputs!$G16*tenants2,""),IF(_xlfn.XLOOKUP(Inputs!$D16,Month,index_month)=I$1,Inputs!$G16,"")),""),IF(_xlfn.XLOOKUP(Inputs!$D16,Month,index_month)=I$1,Inputs!$G16,""))</f>
        <v>0</v>
      </c>
      <c r="J15" s="2">
        <f>IF(Inputs!$E16="Ends in", IF(_xlfn.XLOOKUP(Inputs!$F16,Month,index_month)&gt;=J$1, IF(Inputs!$C16="Starts in",IF(_xlfn.XLOOKUP(Inputs!$D16,Month,index_month)&lt;=J$1,Inputs!$G16*tenants2,""),IF(_xlfn.XLOOKUP(Inputs!$D16,Month,index_month)=J$1,Inputs!$G16,"")),""),IF(_xlfn.XLOOKUP(Inputs!$D16,Month,index_month)=J$1,Inputs!$G16,""))</f>
        <v>0</v>
      </c>
      <c r="K15" s="2">
        <f>IF(Inputs!$E16="Ends in", IF(_xlfn.XLOOKUP(Inputs!$F16,Month,index_month)&gt;=K$1, IF(Inputs!$C16="Starts in",IF(_xlfn.XLOOKUP(Inputs!$D16,Month,index_month)&lt;=K$1,Inputs!$G16*tenants2,""),IF(_xlfn.XLOOKUP(Inputs!$D16,Month,index_month)=K$1,Inputs!$G16,"")),""),IF(_xlfn.XLOOKUP(Inputs!$D16,Month,index_month)=K$1,Inputs!$G16,""))</f>
        <v>0</v>
      </c>
      <c r="L15" s="2">
        <f>IF(Inputs!$E16="Ends in", IF(_xlfn.XLOOKUP(Inputs!$F16,Month,index_month)&gt;=L$1, IF(Inputs!$C16="Starts in",IF(_xlfn.XLOOKUP(Inputs!$D16,Month,index_month)&lt;=L$1,Inputs!$G16*tenants2,""),IF(_xlfn.XLOOKUP(Inputs!$D16,Month,index_month)=L$1,Inputs!$G16,"")),""),IF(_xlfn.XLOOKUP(Inputs!$D16,Month,index_month)=L$1,Inputs!$G16,""))</f>
        <v>0</v>
      </c>
      <c r="M15" s="2">
        <f>IF(Inputs!$E16="Ends in", IF(_xlfn.XLOOKUP(Inputs!$F16,Month,index_month)&gt;=M$1, IF(Inputs!$C16="Starts in",IF(_xlfn.XLOOKUP(Inputs!$D16,Month,index_month)&lt;=M$1,Inputs!$G16*tenants2,""),IF(_xlfn.XLOOKUP(Inputs!$D16,Month,index_month)=M$1,Inputs!$G16,"")),""),IF(_xlfn.XLOOKUP(Inputs!$D16,Month,index_month)=M$1,Inputs!$G16,""))</f>
        <v>0</v>
      </c>
      <c r="N15" s="27">
        <f>IF(Inputs!$E16="Ends in", IF(_xlfn.XLOOKUP(Inputs!$F16,Month,index_month)&gt;=N$1, IF(Inputs!$C16="Starts in",IF(_xlfn.XLOOKUP(Inputs!$D16,Month,index_month)&lt;=N$1,Inputs!$G16*tenants2,""),IF(_xlfn.XLOOKUP(Inputs!$D16,Month,index_month)=N$1,Inputs!$G16,"")),""),IF(_xlfn.XLOOKUP(Inputs!$D16,Month,index_month)=N$1,Inputs!$G16,""))</f>
        <v>0</v>
      </c>
    </row>
    <row r="16" spans="2:14" x14ac:dyDescent="0.3">
      <c r="B16" s="23" t="str">
        <f>Inputs!B17</f>
        <v>Water payment</v>
      </c>
      <c r="C16" s="2" t="str">
        <f>IF(Inputs!$E17="Ends in", IF(_xlfn.XLOOKUP(Inputs!$F17,Month,index_month)&gt;=C$1, IF(Inputs!$C17="Starts in",IF(_xlfn.XLOOKUP(Inputs!$D17,Month,index_month)&lt;=C$1,Inputs!$G17*tenants2,""),IF(_xlfn.XLOOKUP(Inputs!$D17,Month,index_month)=C$1,Inputs!$G17,"")),""),IF(_xlfn.XLOOKUP(Inputs!$D17,Month,index_month)=C$1,Inputs!$G17,""))</f>
        <v/>
      </c>
      <c r="D16" s="2" t="str">
        <f>IF(Inputs!$E17="Ends in", IF(_xlfn.XLOOKUP(Inputs!$F17,Month,index_month)&gt;=D$1, IF(Inputs!$C17="Starts in",IF(_xlfn.XLOOKUP(Inputs!$D17,Month,index_month)&lt;=D$1,Inputs!$G17*tenants2,""),IF(_xlfn.XLOOKUP(Inputs!$D17,Month,index_month)=D$1,Inputs!$G17,"")),""),IF(_xlfn.XLOOKUP(Inputs!$D17,Month,index_month)=D$1,Inputs!$G17,""))</f>
        <v/>
      </c>
      <c r="E16" s="2">
        <f>IF(Inputs!$E17="Ends in", IF(_xlfn.XLOOKUP(Inputs!$F17,Month,index_month)&gt;=E$1, IF(Inputs!$C17="Starts in",IF(_xlfn.XLOOKUP(Inputs!$D17,Month,index_month)&lt;=E$1,Inputs!$G17*tenants2,""),IF(_xlfn.XLOOKUP(Inputs!$D17,Month,index_month)=E$1,Inputs!$G17,"")),""),IF(_xlfn.XLOOKUP(Inputs!$D17,Month,index_month)=E$1,Inputs!$G17,""))</f>
        <v>-40</v>
      </c>
      <c r="F16" s="2">
        <f>IF(Inputs!$E17="Ends in", IF(_xlfn.XLOOKUP(Inputs!$F17,Month,index_month)&gt;=F$1, IF(Inputs!$C17="Starts in",IF(_xlfn.XLOOKUP(Inputs!$D17,Month,index_month)&lt;=F$1,Inputs!$G17*tenants2,""),IF(_xlfn.XLOOKUP(Inputs!$D17,Month,index_month)=F$1,Inputs!$G17,"")),""),IF(_xlfn.XLOOKUP(Inputs!$D17,Month,index_month)=F$1,Inputs!$G17,""))</f>
        <v>-40</v>
      </c>
      <c r="G16" s="2">
        <f>IF(Inputs!$E17="Ends in", IF(_xlfn.XLOOKUP(Inputs!$F17,Month,index_month)&gt;=G$1, IF(Inputs!$C17="Starts in",IF(_xlfn.XLOOKUP(Inputs!$D17,Month,index_month)&lt;=G$1,Inputs!$G17*tenants2,""),IF(_xlfn.XLOOKUP(Inputs!$D17,Month,index_month)=G$1,Inputs!$G17,"")),""),IF(_xlfn.XLOOKUP(Inputs!$D17,Month,index_month)=G$1,Inputs!$G17,""))</f>
        <v>-40</v>
      </c>
      <c r="H16" s="2">
        <f>IF(Inputs!$E17="Ends in", IF(_xlfn.XLOOKUP(Inputs!$F17,Month,index_month)&gt;=H$1, IF(Inputs!$C17="Starts in",IF(_xlfn.XLOOKUP(Inputs!$D17,Month,index_month)&lt;=H$1,Inputs!$G17*tenants2,""),IF(_xlfn.XLOOKUP(Inputs!$D17,Month,index_month)=H$1,Inputs!$G17,"")),""),IF(_xlfn.XLOOKUP(Inputs!$D17,Month,index_month)=H$1,Inputs!$G17,""))</f>
        <v>-40</v>
      </c>
      <c r="I16" s="2">
        <f>IF(Inputs!$E17="Ends in", IF(_xlfn.XLOOKUP(Inputs!$F17,Month,index_month)&gt;=I$1, IF(Inputs!$C17="Starts in",IF(_xlfn.XLOOKUP(Inputs!$D17,Month,index_month)&lt;=I$1,Inputs!$G17*tenants2,""),IF(_xlfn.XLOOKUP(Inputs!$D17,Month,index_month)=I$1,Inputs!$G17,"")),""),IF(_xlfn.XLOOKUP(Inputs!$D17,Month,index_month)=I$1,Inputs!$G17,""))</f>
        <v>-40</v>
      </c>
      <c r="J16" s="2">
        <f>IF(Inputs!$E17="Ends in", IF(_xlfn.XLOOKUP(Inputs!$F17,Month,index_month)&gt;=J$1, IF(Inputs!$C17="Starts in",IF(_xlfn.XLOOKUP(Inputs!$D17,Month,index_month)&lt;=J$1,Inputs!$G17*tenants2,""),IF(_xlfn.XLOOKUP(Inputs!$D17,Month,index_month)=J$1,Inputs!$G17,"")),""),IF(_xlfn.XLOOKUP(Inputs!$D17,Month,index_month)=J$1,Inputs!$G17,""))</f>
        <v>-40</v>
      </c>
      <c r="K16" s="2">
        <f>IF(Inputs!$E17="Ends in", IF(_xlfn.XLOOKUP(Inputs!$F17,Month,index_month)&gt;=K$1, IF(Inputs!$C17="Starts in",IF(_xlfn.XLOOKUP(Inputs!$D17,Month,index_month)&lt;=K$1,Inputs!$G17*tenants2,""),IF(_xlfn.XLOOKUP(Inputs!$D17,Month,index_month)=K$1,Inputs!$G17,"")),""),IF(_xlfn.XLOOKUP(Inputs!$D17,Month,index_month)=K$1,Inputs!$G17,""))</f>
        <v>-40</v>
      </c>
      <c r="L16" s="2">
        <f>IF(Inputs!$E17="Ends in", IF(_xlfn.XLOOKUP(Inputs!$F17,Month,index_month)&gt;=L$1, IF(Inputs!$C17="Starts in",IF(_xlfn.XLOOKUP(Inputs!$D17,Month,index_month)&lt;=L$1,Inputs!$G17*tenants2,""),IF(_xlfn.XLOOKUP(Inputs!$D17,Month,index_month)=L$1,Inputs!$G17,"")),""),IF(_xlfn.XLOOKUP(Inputs!$D17,Month,index_month)=L$1,Inputs!$G17,""))</f>
        <v>-40</v>
      </c>
      <c r="M16" s="2">
        <f>IF(Inputs!$E17="Ends in", IF(_xlfn.XLOOKUP(Inputs!$F17,Month,index_month)&gt;=M$1, IF(Inputs!$C17="Starts in",IF(_xlfn.XLOOKUP(Inputs!$D17,Month,index_month)&lt;=M$1,Inputs!$G17*tenants2,""),IF(_xlfn.XLOOKUP(Inputs!$D17,Month,index_month)=M$1,Inputs!$G17,"")),""),IF(_xlfn.XLOOKUP(Inputs!$D17,Month,index_month)=M$1,Inputs!$G17,""))</f>
        <v>-40</v>
      </c>
      <c r="N16" s="27">
        <f>IF(Inputs!$E17="Ends in", IF(_xlfn.XLOOKUP(Inputs!$F17,Month,index_month)&gt;=N$1, IF(Inputs!$C17="Starts in",IF(_xlfn.XLOOKUP(Inputs!$D17,Month,index_month)&lt;=N$1,Inputs!$G17*tenants2,""),IF(_xlfn.XLOOKUP(Inputs!$D17,Month,index_month)=N$1,Inputs!$G17,"")),""),IF(_xlfn.XLOOKUP(Inputs!$D17,Month,index_month)=N$1,Inputs!$G17,""))</f>
        <v>-40</v>
      </c>
    </row>
    <row r="17" spans="1:14" x14ac:dyDescent="0.3">
      <c r="B17" s="23" t="str">
        <f>Inputs!B18</f>
        <v>Condominium</v>
      </c>
      <c r="C17">
        <f>IF(Inputs!$E18="Ends in", IF(_xlfn.XLOOKUP(Inputs!$F18,Month,index_month)&gt;=C$1, IF(Inputs!$C18="Starts in",IF(_xlfn.XLOOKUP(Inputs!$D18,Month,index_month)&lt;=C$1,Inputs!$G18,""),IF(_xlfn.XLOOKUP(Inputs!$D18,Month,index_month)=C$1,Inputs!$G18,"")),""),IF(_xlfn.XLOOKUP(Inputs!$D18,Month,index_month)=C$1,Inputs!$G18,""))</f>
        <v>-202</v>
      </c>
      <c r="D17">
        <f>IF(Inputs!$E18="Ends in", IF(_xlfn.XLOOKUP(Inputs!$F18,Month,index_month)&gt;=D$1, IF(Inputs!$C18="Starts in",IF(_xlfn.XLOOKUP(Inputs!$D18,Month,index_month)&lt;=D$1,Inputs!$G18,""),IF(_xlfn.XLOOKUP(Inputs!$D18,Month,index_month)=D$1,Inputs!$G18,"")),""),IF(_xlfn.XLOOKUP(Inputs!$D18,Month,index_month)=D$1,Inputs!$G18,""))</f>
        <v>-202</v>
      </c>
      <c r="E17">
        <f>IF(Inputs!$E18="Ends in", IF(_xlfn.XLOOKUP(Inputs!$F18,Month,index_month)&gt;=E$1, IF(Inputs!$C18="Starts in",IF(_xlfn.XLOOKUP(Inputs!$D18,Month,index_month)&lt;=E$1,Inputs!$G18,""),IF(_xlfn.XLOOKUP(Inputs!$D18,Month,index_month)=E$1,Inputs!$G18,"")),""),IF(_xlfn.XLOOKUP(Inputs!$D18,Month,index_month)=E$1,Inputs!$G18,""))</f>
        <v>-202</v>
      </c>
      <c r="F17">
        <f>IF(Inputs!$E18="Ends in", IF(_xlfn.XLOOKUP(Inputs!$F18,Month,index_month)&gt;=F$1, IF(Inputs!$C18="Starts in",IF(_xlfn.XLOOKUP(Inputs!$D18,Month,index_month)&lt;=F$1,Inputs!$G18,""),IF(_xlfn.XLOOKUP(Inputs!$D18,Month,index_month)=F$1,Inputs!$G18,"")),""),IF(_xlfn.XLOOKUP(Inputs!$D18,Month,index_month)=F$1,Inputs!$G18,""))</f>
        <v>-202</v>
      </c>
      <c r="G17">
        <f>IF(Inputs!$E18="Ends in", IF(_xlfn.XLOOKUP(Inputs!$F18,Month,index_month)&gt;=G$1, IF(Inputs!$C18="Starts in",IF(_xlfn.XLOOKUP(Inputs!$D18,Month,index_month)&lt;=G$1,Inputs!$G18,""),IF(_xlfn.XLOOKUP(Inputs!$D18,Month,index_month)=G$1,Inputs!$G18,"")),""),IF(_xlfn.XLOOKUP(Inputs!$D18,Month,index_month)=G$1,Inputs!$G18,""))</f>
        <v>-202</v>
      </c>
      <c r="H17">
        <f>IF(Inputs!$E18="Ends in", IF(_xlfn.XLOOKUP(Inputs!$F18,Month,index_month)&gt;=H$1, IF(Inputs!$C18="Starts in",IF(_xlfn.XLOOKUP(Inputs!$D18,Month,index_month)&lt;=H$1,Inputs!$G18,""),IF(_xlfn.XLOOKUP(Inputs!$D18,Month,index_month)=H$1,Inputs!$G18,"")),""),IF(_xlfn.XLOOKUP(Inputs!$D18,Month,index_month)=H$1,Inputs!$G18,""))</f>
        <v>-202</v>
      </c>
      <c r="I17">
        <f>IF(Inputs!$E18="Ends in", IF(_xlfn.XLOOKUP(Inputs!$F18,Month,index_month)&gt;=I$1, IF(Inputs!$C18="Starts in",IF(_xlfn.XLOOKUP(Inputs!$D18,Month,index_month)&lt;=I$1,Inputs!$G18,""),IF(_xlfn.XLOOKUP(Inputs!$D18,Month,index_month)=I$1,Inputs!$G18,"")),""),IF(_xlfn.XLOOKUP(Inputs!$D18,Month,index_month)=I$1,Inputs!$G18,""))</f>
        <v>-202</v>
      </c>
      <c r="J17">
        <f>IF(Inputs!$E18="Ends in", IF(_xlfn.XLOOKUP(Inputs!$F18,Month,index_month)&gt;=J$1, IF(Inputs!$C18="Starts in",IF(_xlfn.XLOOKUP(Inputs!$D18,Month,index_month)&lt;=J$1,Inputs!$G18,""),IF(_xlfn.XLOOKUP(Inputs!$D18,Month,index_month)=J$1,Inputs!$G18,"")),""),IF(_xlfn.XLOOKUP(Inputs!$D18,Month,index_month)=J$1,Inputs!$G18,""))</f>
        <v>-202</v>
      </c>
      <c r="K17">
        <f>IF(Inputs!$E18="Ends in", IF(_xlfn.XLOOKUP(Inputs!$F18,Month,index_month)&gt;=K$1, IF(Inputs!$C18="Starts in",IF(_xlfn.XLOOKUP(Inputs!$D18,Month,index_month)&lt;=K$1,Inputs!$G18,""),IF(_xlfn.XLOOKUP(Inputs!$D18,Month,index_month)=K$1,Inputs!$G18,"")),""),IF(_xlfn.XLOOKUP(Inputs!$D18,Month,index_month)=K$1,Inputs!$G18,""))</f>
        <v>-202</v>
      </c>
      <c r="L17">
        <f>IF(Inputs!$E18="Ends in", IF(_xlfn.XLOOKUP(Inputs!$F18,Month,index_month)&gt;=L$1, IF(Inputs!$C18="Starts in",IF(_xlfn.XLOOKUP(Inputs!$D18,Month,index_month)&lt;=L$1,Inputs!$G18,""),IF(_xlfn.XLOOKUP(Inputs!$D18,Month,index_month)=L$1,Inputs!$G18,"")),""),IF(_xlfn.XLOOKUP(Inputs!$D18,Month,index_month)=L$1,Inputs!$G18,""))</f>
        <v>-202</v>
      </c>
      <c r="M17">
        <f>IF(Inputs!$E18="Ends in", IF(_xlfn.XLOOKUP(Inputs!$F18,Month,index_month)&gt;=M$1, IF(Inputs!$C18="Starts in",IF(_xlfn.XLOOKUP(Inputs!$D18,Month,index_month)&lt;=M$1,Inputs!$G18,""),IF(_xlfn.XLOOKUP(Inputs!$D18,Month,index_month)=M$1,Inputs!$G18,"")),""),IF(_xlfn.XLOOKUP(Inputs!$D18,Month,index_month)=M$1,Inputs!$G18,""))</f>
        <v>-202</v>
      </c>
      <c r="N17" s="27">
        <f>IF(Inputs!$E18="Ends in", IF(_xlfn.XLOOKUP(Inputs!$F18,Month,index_month)&gt;=N$1, IF(Inputs!$C18="Starts in",IF(_xlfn.XLOOKUP(Inputs!$D18,Month,index_month)&lt;=N$1,Inputs!$G18,""),IF(_xlfn.XLOOKUP(Inputs!$D18,Month,index_month)=N$1,Inputs!$G18,"")),""),IF(_xlfn.XLOOKUP(Inputs!$D18,Month,index_month)=N$1,Inputs!$G18,""))</f>
        <v>-202</v>
      </c>
    </row>
    <row r="18" spans="1:14" ht="15" thickBot="1" x14ac:dyDescent="0.35">
      <c r="B18" s="24" t="str">
        <f>Inputs!B19</f>
        <v>Loan repayment</v>
      </c>
      <c r="C18" s="3">
        <f>IF(Inputs!$E19="Ends in", IF(_xlfn.XLOOKUP(Inputs!$F19,Month,index_month)&gt;=C$1, IF(Inputs!$C19="Starts in",IF(_xlfn.XLOOKUP(Inputs!$D19,Month,index_month)&lt;=C$1,Inputs!$G19,""),IF(_xlfn.XLOOKUP(Inputs!$D19,Month,index_month)=C$1,Inputs!$G19,"")),""),IF(_xlfn.XLOOKUP(Inputs!$D19,Month,index_month)=C$1,Inputs!$G19,""))</f>
        <v>0</v>
      </c>
      <c r="D18" s="3">
        <f>IF(Inputs!$E19="Ends in", IF(_xlfn.XLOOKUP(Inputs!$F19,Month,index_month)&gt;=D$1, IF(Inputs!$C19="Starts in",IF(_xlfn.XLOOKUP(Inputs!$D19,Month,index_month)&lt;=D$1,Inputs!$G19,""),IF(_xlfn.XLOOKUP(Inputs!$D19,Month,index_month)=D$1,Inputs!$G19,"")),""),IF(_xlfn.XLOOKUP(Inputs!$D19,Month,index_month)=D$1,Inputs!$G19,""))</f>
        <v>0</v>
      </c>
      <c r="E18" s="3">
        <f>IF(Inputs!$E19="Ends in", IF(_xlfn.XLOOKUP(Inputs!$F19,Month,index_month)&gt;=E$1, IF(Inputs!$C19="Starts in",IF(_xlfn.XLOOKUP(Inputs!$D19,Month,index_month)&lt;=E$1,Inputs!$G19,""),IF(_xlfn.XLOOKUP(Inputs!$D19,Month,index_month)=E$1,Inputs!$G19,"")),""),IF(_xlfn.XLOOKUP(Inputs!$D19,Month,index_month)=E$1,Inputs!$G19,""))</f>
        <v>0</v>
      </c>
      <c r="F18" s="3">
        <f>IF(Inputs!$E19="Ends in", IF(_xlfn.XLOOKUP(Inputs!$F19,Month,index_month)&gt;=F$1, IF(Inputs!$C19="Starts in",IF(_xlfn.XLOOKUP(Inputs!$D19,Month,index_month)&lt;=F$1,Inputs!$G19,""),IF(_xlfn.XLOOKUP(Inputs!$D19,Month,index_month)=F$1,Inputs!$G19,"")),""),IF(_xlfn.XLOOKUP(Inputs!$D19,Month,index_month)=F$1,Inputs!$G19,""))</f>
        <v>0</v>
      </c>
      <c r="G18" s="3">
        <f>IF(Inputs!$E19="Ends in", IF(_xlfn.XLOOKUP(Inputs!$F19,Month,index_month)&gt;=G$1, IF(Inputs!$C19="Starts in",IF(_xlfn.XLOOKUP(Inputs!$D19,Month,index_month)&lt;=G$1,Inputs!$G19,""),IF(_xlfn.XLOOKUP(Inputs!$D19,Month,index_month)=G$1,Inputs!$G19,"")),""),IF(_xlfn.XLOOKUP(Inputs!$D19,Month,index_month)=G$1,Inputs!$G19,""))</f>
        <v>0</v>
      </c>
      <c r="H18" s="3">
        <f>IF(Inputs!$E19="Ends in", IF(_xlfn.XLOOKUP(Inputs!$F19,Month,index_month)&gt;=H$1, IF(Inputs!$C19="Starts in",IF(_xlfn.XLOOKUP(Inputs!$D19,Month,index_month)&lt;=H$1,Inputs!$G19,""),IF(_xlfn.XLOOKUP(Inputs!$D19,Month,index_month)=H$1,Inputs!$G19,"")),""),IF(_xlfn.XLOOKUP(Inputs!$D19,Month,index_month)=H$1,Inputs!$G19,""))</f>
        <v>0</v>
      </c>
      <c r="I18" s="3">
        <f>IF(Inputs!$E19="Ends in", IF(_xlfn.XLOOKUP(Inputs!$F19,Month,index_month)&gt;=I$1, IF(Inputs!$C19="Starts in",IF(_xlfn.XLOOKUP(Inputs!$D19,Month,index_month)&lt;=I$1,Inputs!$G19,""),IF(_xlfn.XLOOKUP(Inputs!$D19,Month,index_month)=I$1,Inputs!$G19,"")),""),IF(_xlfn.XLOOKUP(Inputs!$D19,Month,index_month)=I$1,Inputs!$G19,""))</f>
        <v>0</v>
      </c>
      <c r="J18" s="3">
        <f>IF(Inputs!$E19="Ends in", IF(_xlfn.XLOOKUP(Inputs!$F19,Month,index_month)&gt;=J$1, IF(Inputs!$C19="Starts in",IF(_xlfn.XLOOKUP(Inputs!$D19,Month,index_month)&lt;=J$1,Inputs!$G19,""),IF(_xlfn.XLOOKUP(Inputs!$D19,Month,index_month)=J$1,Inputs!$G19,"")),""),IF(_xlfn.XLOOKUP(Inputs!$D19,Month,index_month)=J$1,Inputs!$G19,""))</f>
        <v>0</v>
      </c>
      <c r="K18" s="3">
        <f>IF(Inputs!$E19="Ends in", IF(_xlfn.XLOOKUP(Inputs!$F19,Month,index_month)&gt;=K$1, IF(Inputs!$C19="Starts in",IF(_xlfn.XLOOKUP(Inputs!$D19,Month,index_month)&lt;=K$1,Inputs!$G19,""),IF(_xlfn.XLOOKUP(Inputs!$D19,Month,index_month)=K$1,Inputs!$G19,"")),""),IF(_xlfn.XLOOKUP(Inputs!$D19,Month,index_month)=K$1,Inputs!$G19,""))</f>
        <v>0</v>
      </c>
      <c r="L18" s="3">
        <f>IF(Inputs!$E19="Ends in", IF(_xlfn.XLOOKUP(Inputs!$F19,Month,index_month)&gt;=L$1, IF(Inputs!$C19="Starts in",IF(_xlfn.XLOOKUP(Inputs!$D19,Month,index_month)&lt;=L$1,Inputs!$G19,""),IF(_xlfn.XLOOKUP(Inputs!$D19,Month,index_month)=L$1,Inputs!$G19,"")),""),IF(_xlfn.XLOOKUP(Inputs!$D19,Month,index_month)=L$1,Inputs!$G19,""))</f>
        <v>0</v>
      </c>
      <c r="M18" s="3">
        <f>IF(Inputs!$E19="Ends in", IF(_xlfn.XLOOKUP(Inputs!$F19,Month,index_month)&gt;=M$1, IF(Inputs!$C19="Starts in",IF(_xlfn.XLOOKUP(Inputs!$D19,Month,index_month)&lt;=M$1,Inputs!$G19,""),IF(_xlfn.XLOOKUP(Inputs!$D19,Month,index_month)=M$1,Inputs!$G19,"")),""),IF(_xlfn.XLOOKUP(Inputs!$D19,Month,index_month)=M$1,Inputs!$G19,""))</f>
        <v>0</v>
      </c>
      <c r="N18" s="28">
        <f>IF(Inputs!$E19="Ends in", IF(_xlfn.XLOOKUP(Inputs!$F19,Month,index_month)&gt;=N$1, IF(Inputs!$C19="Starts in",IF(_xlfn.XLOOKUP(Inputs!$D19,Month,index_month)&lt;=N$1,Inputs!$G19,""),IF(_xlfn.XLOOKUP(Inputs!$D19,Month,index_month)=N$1,Inputs!$G19,"")),""),IF(_xlfn.XLOOKUP(Inputs!$D19,Month,index_month)=N$1,Inputs!$G19,""))</f>
        <v>0</v>
      </c>
    </row>
    <row r="19" spans="1:14" ht="15" thickTop="1" x14ac:dyDescent="0.3">
      <c r="B19" t="s">
        <v>36</v>
      </c>
      <c r="C19">
        <f t="shared" ref="C19:N19" si="1">SUM(C14:C18)</f>
        <v>-202</v>
      </c>
      <c r="D19">
        <f t="shared" si="1"/>
        <v>-202</v>
      </c>
      <c r="E19">
        <f t="shared" si="1"/>
        <v>198</v>
      </c>
      <c r="F19">
        <f t="shared" si="1"/>
        <v>198</v>
      </c>
      <c r="G19">
        <f t="shared" si="1"/>
        <v>198</v>
      </c>
      <c r="H19">
        <f t="shared" si="1"/>
        <v>198</v>
      </c>
      <c r="I19">
        <f t="shared" si="1"/>
        <v>198</v>
      </c>
      <c r="J19">
        <f t="shared" si="1"/>
        <v>198</v>
      </c>
      <c r="K19">
        <f t="shared" si="1"/>
        <v>198</v>
      </c>
      <c r="L19">
        <f t="shared" si="1"/>
        <v>198</v>
      </c>
      <c r="M19">
        <f t="shared" si="1"/>
        <v>198</v>
      </c>
      <c r="N19">
        <f t="shared" si="1"/>
        <v>198</v>
      </c>
    </row>
    <row r="21" spans="1:14" x14ac:dyDescent="0.3">
      <c r="A21" s="2"/>
      <c r="B21" s="2"/>
      <c r="D21" s="2"/>
      <c r="E21" s="2"/>
      <c r="F21" s="2"/>
      <c r="G21" s="2"/>
      <c r="H21" s="2"/>
      <c r="I21" s="2"/>
      <c r="J21" s="2"/>
      <c r="K21" s="2"/>
      <c r="L21" s="2"/>
      <c r="M21" s="2"/>
      <c r="N21" s="2"/>
    </row>
    <row r="22" spans="1:14" x14ac:dyDescent="0.3">
      <c r="B22" s="26" t="s">
        <v>6</v>
      </c>
      <c r="C22" s="23" t="str" cm="1">
        <f t="array" ref="C22:N22">TRANSPOSE(Month)</f>
        <v>Jan</v>
      </c>
      <c r="D22" s="23" t="str">
        <v>Feb</v>
      </c>
      <c r="E22" s="23" t="str">
        <v>Mar</v>
      </c>
      <c r="F22" s="23" t="str">
        <v>Apr</v>
      </c>
      <c r="G22" s="23" t="str">
        <v>May</v>
      </c>
      <c r="H22" s="23" t="str">
        <v>Jun</v>
      </c>
      <c r="I22" s="23" t="str">
        <v>Jul</v>
      </c>
      <c r="J22" s="23" t="str">
        <v>Aug</v>
      </c>
      <c r="K22" s="23" t="str">
        <v>Sep</v>
      </c>
      <c r="L22" s="23" t="str">
        <v>Oct</v>
      </c>
      <c r="M22" s="23" t="str">
        <v>Nov</v>
      </c>
      <c r="N22" s="23" t="str">
        <v>Dec</v>
      </c>
    </row>
    <row r="23" spans="1:14" x14ac:dyDescent="0.3">
      <c r="B23" s="25" t="str">
        <f>Inputs!I5</f>
        <v>Rent</v>
      </c>
      <c r="C23" t="str">
        <f>IF(Inputs!$L5="Ends in", IF(_xlfn.XLOOKUP(Inputs!$M5,Month,index_month)&gt;=C$1, IF(Inputs!$J5="Starts in",IF(_xlfn.XLOOKUP('Calculation menu'!$A18,Month,index_month)&lt;=C$1,Inputs!$N5,""),IF(_xlfn.XLOOKUP('Calculation menu'!$A18,Month,index_month)=C$1,Inputs!$N5,"")),""),IF(_xlfn.XLOOKUP('Calculation menu'!$A18,Month,index_month)=C$1,Inputs!$N5,""))</f>
        <v/>
      </c>
      <c r="D23" t="str">
        <f>IF(Inputs!$L5="Ends in", IF(_xlfn.XLOOKUP(Inputs!$M5,Month,index_month)&gt;=D$1, IF(Inputs!$J5="Starts in",IF(_xlfn.XLOOKUP('Calculation menu'!$A18,Month,index_month)&lt;=D$1,Inputs!$N5,""),IF(_xlfn.XLOOKUP('Calculation menu'!$A18,Month,index_month)=D$1,Inputs!$N5,"")),""),IF(_xlfn.XLOOKUP('Calculation menu'!$A18,Month,index_month)=D$1,Inputs!$N5,""))</f>
        <v/>
      </c>
      <c r="E23" t="str">
        <f>IF(Inputs!$L5="Ends in", IF(_xlfn.XLOOKUP(Inputs!$M5,Month,index_month)&gt;=E$1, IF(Inputs!$J5="Starts in",IF(_xlfn.XLOOKUP('Calculation menu'!$A18,Month,index_month)&lt;=E$1,Inputs!$N5,""),IF(_xlfn.XLOOKUP('Calculation menu'!$A18,Month,index_month)=E$1,Inputs!$N5,"")),""),IF(_xlfn.XLOOKUP('Calculation menu'!$A18,Month,index_month)=E$1,Inputs!$N5,""))</f>
        <v/>
      </c>
      <c r="F23" t="str">
        <f>IF(Inputs!$L5="Ends in", IF(_xlfn.XLOOKUP(Inputs!$M5,Month,index_month)&gt;=F$1, IF(Inputs!$J5="Starts in",IF(_xlfn.XLOOKUP('Calculation menu'!$A18,Month,index_month)&lt;=F$1,Inputs!$N5,""),IF(_xlfn.XLOOKUP('Calculation menu'!$A18,Month,index_month)=F$1,Inputs!$N5,"")),""),IF(_xlfn.XLOOKUP('Calculation menu'!$A18,Month,index_month)=F$1,Inputs!$N5,""))</f>
        <v/>
      </c>
      <c r="G23">
        <f>IF(Inputs!$L5="Ends in", IF(_xlfn.XLOOKUP(Inputs!$M5,Month,index_month)&gt;=G$1, IF(Inputs!$J5="Starts in",IF(_xlfn.XLOOKUP('Calculation menu'!$A18,Month,index_month)&lt;=G$1,Inputs!$N5,""),IF(_xlfn.XLOOKUP('Calculation menu'!$A18,Month,index_month)=G$1,Inputs!$N5,"")),""),IF(_xlfn.XLOOKUP('Calculation menu'!$A18,Month,index_month)=G$1,Inputs!$N5,""))</f>
        <v>600</v>
      </c>
      <c r="H23">
        <f>IF(Inputs!$L5="Ends in", IF(_xlfn.XLOOKUP(Inputs!$M5,Month,index_month)&gt;=H$1, IF(Inputs!$J5="Starts in",IF(_xlfn.XLOOKUP('Calculation menu'!$A18,Month,index_month)&lt;=H$1,Inputs!$N5,""),IF(_xlfn.XLOOKUP('Calculation menu'!$A18,Month,index_month)=H$1,Inputs!$N5,"")),""),IF(_xlfn.XLOOKUP('Calculation menu'!$A18,Month,index_month)=H$1,Inputs!$N5,""))</f>
        <v>600</v>
      </c>
      <c r="I23">
        <f>IF(Inputs!$L5="Ends in", IF(_xlfn.XLOOKUP(Inputs!$M5,Month,index_month)&gt;=I$1, IF(Inputs!$J5="Starts in",IF(_xlfn.XLOOKUP('Calculation menu'!$A18,Month,index_month)&lt;=I$1,Inputs!$N5,""),IF(_xlfn.XLOOKUP('Calculation menu'!$A18,Month,index_month)=I$1,Inputs!$N5,"")),""),IF(_xlfn.XLOOKUP('Calculation menu'!$A18,Month,index_month)=I$1,Inputs!$N5,""))</f>
        <v>600</v>
      </c>
      <c r="J23">
        <f>IF(Inputs!$L5="Ends in", IF(_xlfn.XLOOKUP(Inputs!$M5,Month,index_month)&gt;=J$1, IF(Inputs!$J5="Starts in",IF(_xlfn.XLOOKUP('Calculation menu'!$A18,Month,index_month)&lt;=J$1,Inputs!$N5,""),IF(_xlfn.XLOOKUP('Calculation menu'!$A18,Month,index_month)=J$1,Inputs!$N5,"")),""),IF(_xlfn.XLOOKUP('Calculation menu'!$A18,Month,index_month)=J$1,Inputs!$N5,""))</f>
        <v>600</v>
      </c>
      <c r="K23">
        <f>IF(Inputs!$L5="Ends in", IF(_xlfn.XLOOKUP(Inputs!$M5,Month,index_month)&gt;=K$1, IF(Inputs!$J5="Starts in",IF(_xlfn.XLOOKUP('Calculation menu'!$A18,Month,index_month)&lt;=K$1,Inputs!$N5,""),IF(_xlfn.XLOOKUP('Calculation menu'!$A18,Month,index_month)=K$1,Inputs!$N5,"")),""),IF(_xlfn.XLOOKUP('Calculation menu'!$A18,Month,index_month)=K$1,Inputs!$N5,""))</f>
        <v>600</v>
      </c>
      <c r="L23">
        <f>IF(Inputs!$L5="Ends in", IF(_xlfn.XLOOKUP(Inputs!$M5,Month,index_month)&gt;=L$1, IF(Inputs!$J5="Starts in",IF(_xlfn.XLOOKUP('Calculation menu'!$A18,Month,index_month)&lt;=L$1,Inputs!$N5,""),IF(_xlfn.XLOOKUP('Calculation menu'!$A18,Month,index_month)=L$1,Inputs!$N5,"")),""),IF(_xlfn.XLOOKUP('Calculation menu'!$A18,Month,index_month)=L$1,Inputs!$N5,""))</f>
        <v>600</v>
      </c>
      <c r="M23">
        <f>IF(Inputs!$L5="Ends in", IF(_xlfn.XLOOKUP(Inputs!$M5,Month,index_month)&gt;=M$1, IF(Inputs!$J5="Starts in",IF(_xlfn.XLOOKUP('Calculation menu'!$A18,Month,index_month)&lt;=M$1,Inputs!$N5,""),IF(_xlfn.XLOOKUP('Calculation menu'!$A18,Month,index_month)=M$1,Inputs!$N5,"")),""),IF(_xlfn.XLOOKUP('Calculation menu'!$A18,Month,index_month)=M$1,Inputs!$N5,""))</f>
        <v>600</v>
      </c>
      <c r="N23" s="27">
        <f>IF(Inputs!$L5="Ends in", IF(_xlfn.XLOOKUP(Inputs!$M5,Month,index_month)&gt;=N$1, IF(Inputs!$J5="Starts in",IF(_xlfn.XLOOKUP('Calculation menu'!$A18,Month,index_month)&lt;=N$1,Inputs!$N5,""),IF(_xlfn.XLOOKUP('Calculation menu'!$A18,Month,index_month)=N$1,Inputs!$N5,"")),""),IF(_xlfn.XLOOKUP('Calculation menu'!$A18,Month,index_month)=N$1,Inputs!$N5,""))</f>
        <v>600</v>
      </c>
    </row>
    <row r="24" spans="1:14" x14ac:dyDescent="0.3">
      <c r="B24" s="23" t="str">
        <f>Inputs!I6</f>
        <v>Water revenues</v>
      </c>
      <c r="C24" t="str">
        <f>IF(Inputs!$L6="Ends in", IF(_xlfn.XLOOKUP(Inputs!$M6,Month,index_month)&gt;=C$1, IF(Inputs!$J6="Starts in",IF(_xlfn.XLOOKUP(Inputs!$K6,Month,index_month)&lt;=C$1,Inputs!$N6*tenants3,""),IF(_xlfn.XLOOKUP(Inputs!$K6,Month,index_month)=C$1,Inputs!$N6,"")),""),IF(_xlfn.XLOOKUP(Inputs!$K6,Month,index_month)=C$1,Inputs!$N6,""))</f>
        <v/>
      </c>
      <c r="D24" t="str">
        <f>IF(Inputs!$L6="Ends in", IF(_xlfn.XLOOKUP(Inputs!$M6,Month,index_month)&gt;=D$1, IF(Inputs!$J6="Starts in",IF(_xlfn.XLOOKUP(Inputs!$K6,Month,index_month)&lt;=D$1,Inputs!$N6*tenants3,""),IF(_xlfn.XLOOKUP(Inputs!$K6,Month,index_month)=D$1,Inputs!$N6,"")),""),IF(_xlfn.XLOOKUP(Inputs!$K6,Month,index_month)=D$1,Inputs!$N6,""))</f>
        <v/>
      </c>
      <c r="E24" t="str">
        <f>IF(Inputs!$L6="Ends in", IF(_xlfn.XLOOKUP(Inputs!$M6,Month,index_month)&gt;=E$1, IF(Inputs!$J6="Starts in",IF(_xlfn.XLOOKUP(Inputs!$K6,Month,index_month)&lt;=E$1,Inputs!$N6*tenants3,""),IF(_xlfn.XLOOKUP(Inputs!$K6,Month,index_month)=E$1,Inputs!$N6,"")),""),IF(_xlfn.XLOOKUP(Inputs!$K6,Month,index_month)=E$1,Inputs!$N6,""))</f>
        <v/>
      </c>
      <c r="F24" t="str">
        <f>IF(Inputs!$L6="Ends in", IF(_xlfn.XLOOKUP(Inputs!$M6,Month,index_month)&gt;=F$1, IF(Inputs!$J6="Starts in",IF(_xlfn.XLOOKUP(Inputs!$K6,Month,index_month)&lt;=F$1,Inputs!$N6*tenants3,""),IF(_xlfn.XLOOKUP(Inputs!$K6,Month,index_month)=F$1,Inputs!$N6,"")),""),IF(_xlfn.XLOOKUP(Inputs!$K6,Month,index_month)=F$1,Inputs!$N6,""))</f>
        <v/>
      </c>
      <c r="G24">
        <f>IF(Inputs!$L6="Ends in", IF(_xlfn.XLOOKUP(Inputs!$M6,Month,index_month)&gt;=G$1, IF(Inputs!$J6="Starts in",IF(_xlfn.XLOOKUP(Inputs!$K6,Month,index_month)&lt;=G$1,Inputs!$N6*tenants3,""),IF(_xlfn.XLOOKUP(Inputs!$K6,Month,index_month)=G$1,Inputs!$N6,"")),""),IF(_xlfn.XLOOKUP(Inputs!$K6,Month,index_month)=G$1,Inputs!$N6,""))</f>
        <v>51</v>
      </c>
      <c r="H24">
        <f>IF(Inputs!$L6="Ends in", IF(_xlfn.XLOOKUP(Inputs!$M6,Month,index_month)&gt;=H$1, IF(Inputs!$J6="Starts in",IF(_xlfn.XLOOKUP(Inputs!$K6,Month,index_month)&lt;=H$1,Inputs!$N6*tenants3,""),IF(_xlfn.XLOOKUP(Inputs!$K6,Month,index_month)=H$1,Inputs!$N6,"")),""),IF(_xlfn.XLOOKUP(Inputs!$K6,Month,index_month)=H$1,Inputs!$N6,""))</f>
        <v>51</v>
      </c>
      <c r="I24">
        <f>IF(Inputs!$L6="Ends in", IF(_xlfn.XLOOKUP(Inputs!$M6,Month,index_month)&gt;=I$1, IF(Inputs!$J6="Starts in",IF(_xlfn.XLOOKUP(Inputs!$K6,Month,index_month)&lt;=I$1,Inputs!$N6*tenants3,""),IF(_xlfn.XLOOKUP(Inputs!$K6,Month,index_month)=I$1,Inputs!$N6,"")),""),IF(_xlfn.XLOOKUP(Inputs!$K6,Month,index_month)=I$1,Inputs!$N6,""))</f>
        <v>51</v>
      </c>
      <c r="J24">
        <f>IF(Inputs!$L6="Ends in", IF(_xlfn.XLOOKUP(Inputs!$M6,Month,index_month)&gt;=J$1, IF(Inputs!$J6="Starts in",IF(_xlfn.XLOOKUP(Inputs!$K6,Month,index_month)&lt;=J$1,Inputs!$N6*tenants3,""),IF(_xlfn.XLOOKUP(Inputs!$K6,Month,index_month)=J$1,Inputs!$N6,"")),""),IF(_xlfn.XLOOKUP(Inputs!$K6,Month,index_month)=J$1,Inputs!$N6,""))</f>
        <v>51</v>
      </c>
      <c r="K24">
        <f>IF(Inputs!$L6="Ends in", IF(_xlfn.XLOOKUP(Inputs!$M6,Month,index_month)&gt;=K$1, IF(Inputs!$J6="Starts in",IF(_xlfn.XLOOKUP(Inputs!$K6,Month,index_month)&lt;=K$1,Inputs!$N6*tenants3,""),IF(_xlfn.XLOOKUP(Inputs!$K6,Month,index_month)=K$1,Inputs!$N6,"")),""),IF(_xlfn.XLOOKUP(Inputs!$K6,Month,index_month)=K$1,Inputs!$N6,""))</f>
        <v>51</v>
      </c>
      <c r="L24">
        <f>IF(Inputs!$L6="Ends in", IF(_xlfn.XLOOKUP(Inputs!$M6,Month,index_month)&gt;=L$1, IF(Inputs!$J6="Starts in",IF(_xlfn.XLOOKUP(Inputs!$K6,Month,index_month)&lt;=L$1,Inputs!$N6*tenants3,""),IF(_xlfn.XLOOKUP(Inputs!$K6,Month,index_month)=L$1,Inputs!$N6,"")),""),IF(_xlfn.XLOOKUP(Inputs!$K6,Month,index_month)=L$1,Inputs!$N6,""))</f>
        <v>51</v>
      </c>
      <c r="M24">
        <f>IF(Inputs!$L6="Ends in", IF(_xlfn.XLOOKUP(Inputs!$M6,Month,index_month)&gt;=M$1, IF(Inputs!$J6="Starts in",IF(_xlfn.XLOOKUP(Inputs!$K6,Month,index_month)&lt;=M$1,Inputs!$N6*tenants3,""),IF(_xlfn.XLOOKUP(Inputs!$K6,Month,index_month)=M$1,Inputs!$N6,"")),""),IF(_xlfn.XLOOKUP(Inputs!$K6,Month,index_month)=M$1,Inputs!$N6,""))</f>
        <v>51</v>
      </c>
      <c r="N24" s="27">
        <f>IF(Inputs!$L6="Ends in", IF(_xlfn.XLOOKUP(Inputs!$M6,Month,index_month)&gt;=N$1, IF(Inputs!$J6="Starts in",IF(_xlfn.XLOOKUP(Inputs!$K6,Month,index_month)&lt;=N$1,Inputs!$N6*tenants3,""),IF(_xlfn.XLOOKUP(Inputs!$K6,Month,index_month)=N$1,Inputs!$N6,"")),""),IF(_xlfn.XLOOKUP(Inputs!$K6,Month,index_month)=N$1,Inputs!$N6,""))</f>
        <v>51</v>
      </c>
    </row>
    <row r="25" spans="1:14" x14ac:dyDescent="0.3">
      <c r="B25" s="23" t="str">
        <f>Inputs!I7</f>
        <v>Water payment</v>
      </c>
      <c r="C25" t="str">
        <f>IF(Inputs!$L7="Ends in", IF(_xlfn.XLOOKUP(Inputs!$M7,Month,index_month)&gt;=C$1, IF(Inputs!$J7="Starts in",IF(_xlfn.XLOOKUP(Inputs!$K7,Month,index_month)&lt;=C$1,Inputs!$N7*tenants3,""),IF(_xlfn.XLOOKUP(Inputs!$K7,Month,index_month)=C$1,Inputs!$N7,"")),""),IF(_xlfn.XLOOKUP(Inputs!$K7,Month,index_month)=C$1,Inputs!$N7,""))</f>
        <v/>
      </c>
      <c r="D25" t="str">
        <f>IF(Inputs!$L7="Ends in", IF(_xlfn.XLOOKUP(Inputs!$M7,Month,index_month)&gt;=D$1, IF(Inputs!$J7="Starts in",IF(_xlfn.XLOOKUP(Inputs!$K7,Month,index_month)&lt;=D$1,Inputs!$N7*tenants3,""),IF(_xlfn.XLOOKUP(Inputs!$K7,Month,index_month)=D$1,Inputs!$N7,"")),""),IF(_xlfn.XLOOKUP(Inputs!$K7,Month,index_month)=D$1,Inputs!$N7,""))</f>
        <v/>
      </c>
      <c r="E25" t="str">
        <f>IF(Inputs!$L7="Ends in", IF(_xlfn.XLOOKUP(Inputs!$M7,Month,index_month)&gt;=E$1, IF(Inputs!$J7="Starts in",IF(_xlfn.XLOOKUP(Inputs!$K7,Month,index_month)&lt;=E$1,Inputs!$N7*tenants3,""),IF(_xlfn.XLOOKUP(Inputs!$K7,Month,index_month)=E$1,Inputs!$N7,"")),""),IF(_xlfn.XLOOKUP(Inputs!$K7,Month,index_month)=E$1,Inputs!$N7,""))</f>
        <v/>
      </c>
      <c r="F25" t="str">
        <f>IF(Inputs!$L7="Ends in", IF(_xlfn.XLOOKUP(Inputs!$M7,Month,index_month)&gt;=F$1, IF(Inputs!$J7="Starts in",IF(_xlfn.XLOOKUP(Inputs!$K7,Month,index_month)&lt;=F$1,Inputs!$N7*tenants3,""),IF(_xlfn.XLOOKUP(Inputs!$K7,Month,index_month)=F$1,Inputs!$N7,"")),""),IF(_xlfn.XLOOKUP(Inputs!$K7,Month,index_month)=F$1,Inputs!$N7,""))</f>
        <v/>
      </c>
      <c r="G25">
        <f>IF(Inputs!$L7="Ends in", IF(_xlfn.XLOOKUP(Inputs!$M7,Month,index_month)&gt;=G$1, IF(Inputs!$J7="Starts in",IF(_xlfn.XLOOKUP(Inputs!$K7,Month,index_month)&lt;=G$1,Inputs!$N7*tenants3,""),IF(_xlfn.XLOOKUP(Inputs!$K7,Month,index_month)=G$1,Inputs!$N7,"")),""),IF(_xlfn.XLOOKUP(Inputs!$K7,Month,index_month)=G$1,Inputs!$N7,""))</f>
        <v>-51</v>
      </c>
      <c r="H25">
        <f>IF(Inputs!$L7="Ends in", IF(_xlfn.XLOOKUP(Inputs!$M7,Month,index_month)&gt;=H$1, IF(Inputs!$J7="Starts in",IF(_xlfn.XLOOKUP(Inputs!$K7,Month,index_month)&lt;=H$1,Inputs!$N7*tenants3,""),IF(_xlfn.XLOOKUP(Inputs!$K7,Month,index_month)=H$1,Inputs!$N7,"")),""),IF(_xlfn.XLOOKUP(Inputs!$K7,Month,index_month)=H$1,Inputs!$N7,""))</f>
        <v>-51</v>
      </c>
      <c r="I25">
        <f>IF(Inputs!$L7="Ends in", IF(_xlfn.XLOOKUP(Inputs!$M7,Month,index_month)&gt;=I$1, IF(Inputs!$J7="Starts in",IF(_xlfn.XLOOKUP(Inputs!$K7,Month,index_month)&lt;=I$1,Inputs!$N7*tenants3,""),IF(_xlfn.XLOOKUP(Inputs!$K7,Month,index_month)=I$1,Inputs!$N7,"")),""),IF(_xlfn.XLOOKUP(Inputs!$K7,Month,index_month)=I$1,Inputs!$N7,""))</f>
        <v>-51</v>
      </c>
      <c r="J25">
        <f>IF(Inputs!$L7="Ends in", IF(_xlfn.XLOOKUP(Inputs!$M7,Month,index_month)&gt;=J$1, IF(Inputs!$J7="Starts in",IF(_xlfn.XLOOKUP(Inputs!$K7,Month,index_month)&lt;=J$1,Inputs!$N7*tenants3,""),IF(_xlfn.XLOOKUP(Inputs!$K7,Month,index_month)=J$1,Inputs!$N7,"")),""),IF(_xlfn.XLOOKUP(Inputs!$K7,Month,index_month)=J$1,Inputs!$N7,""))</f>
        <v>-51</v>
      </c>
      <c r="K25">
        <f>IF(Inputs!$L7="Ends in", IF(_xlfn.XLOOKUP(Inputs!$M7,Month,index_month)&gt;=K$1, IF(Inputs!$J7="Starts in",IF(_xlfn.XLOOKUP(Inputs!$K7,Month,index_month)&lt;=K$1,Inputs!$N7*tenants3,""),IF(_xlfn.XLOOKUP(Inputs!$K7,Month,index_month)=K$1,Inputs!$N7,"")),""),IF(_xlfn.XLOOKUP(Inputs!$K7,Month,index_month)=K$1,Inputs!$N7,""))</f>
        <v>-51</v>
      </c>
      <c r="L25">
        <f>IF(Inputs!$L7="Ends in", IF(_xlfn.XLOOKUP(Inputs!$M7,Month,index_month)&gt;=L$1, IF(Inputs!$J7="Starts in",IF(_xlfn.XLOOKUP(Inputs!$K7,Month,index_month)&lt;=L$1,Inputs!$N7*tenants3,""),IF(_xlfn.XLOOKUP(Inputs!$K7,Month,index_month)=L$1,Inputs!$N7,"")),""),IF(_xlfn.XLOOKUP(Inputs!$K7,Month,index_month)=L$1,Inputs!$N7,""))</f>
        <v>-51</v>
      </c>
      <c r="M25">
        <f>IF(Inputs!$L7="Ends in", IF(_xlfn.XLOOKUP(Inputs!$M7,Month,index_month)&gt;=M$1, IF(Inputs!$J7="Starts in",IF(_xlfn.XLOOKUP(Inputs!$K7,Month,index_month)&lt;=M$1,Inputs!$N7*tenants3,""),IF(_xlfn.XLOOKUP(Inputs!$K7,Month,index_month)=M$1,Inputs!$N7,"")),""),IF(_xlfn.XLOOKUP(Inputs!$K7,Month,index_month)=M$1,Inputs!$N7,""))</f>
        <v>-51</v>
      </c>
      <c r="N25" s="27">
        <f>IF(Inputs!$L7="Ends in", IF(_xlfn.XLOOKUP(Inputs!$M7,Month,index_month)&gt;=N$1, IF(Inputs!$J7="Starts in",IF(_xlfn.XLOOKUP(Inputs!$K7,Month,index_month)&lt;=N$1,Inputs!$N7*tenants3,""),IF(_xlfn.XLOOKUP(Inputs!$K7,Month,index_month)=N$1,Inputs!$N7,"")),""),IF(_xlfn.XLOOKUP(Inputs!$K7,Month,index_month)=N$1,Inputs!$N7,""))</f>
        <v>-51</v>
      </c>
    </row>
    <row r="26" spans="1:14" x14ac:dyDescent="0.3">
      <c r="B26" s="23" t="str">
        <f>Inputs!I8</f>
        <v>Condominium</v>
      </c>
      <c r="C26">
        <f>IF(Inputs!$L8="Ends in", IF(_xlfn.XLOOKUP(Inputs!$M8,Month,index_month)&gt;=C$1, IF(Inputs!$J8="Starts in",IF(_xlfn.XLOOKUP(Inputs!$K8,Month,index_month)&lt;=C$1,Inputs!$N8,""),IF(_xlfn.XLOOKUP(Inputs!$K8,Month,index_month)=C$1,Inputs!$N8,"")),""),IF(_xlfn.XLOOKUP(Inputs!$K8,Month,index_month)=C$1,Inputs!$N8,""))</f>
        <v>-121</v>
      </c>
      <c r="D26">
        <f>IF(Inputs!$L8="Ends in", IF(_xlfn.XLOOKUP(Inputs!$M8,Month,index_month)&gt;=D$1, IF(Inputs!$J8="Starts in",IF(_xlfn.XLOOKUP(Inputs!$K8,Month,index_month)&lt;=D$1,Inputs!$N8,""),IF(_xlfn.XLOOKUP(Inputs!$K8,Month,index_month)=D$1,Inputs!$N8,"")),""),IF(_xlfn.XLOOKUP(Inputs!$K8,Month,index_month)=D$1,Inputs!$N8,""))</f>
        <v>-121</v>
      </c>
      <c r="E26">
        <f>IF(Inputs!$L8="Ends in", IF(_xlfn.XLOOKUP(Inputs!$M8,Month,index_month)&gt;=E$1, IF(Inputs!$J8="Starts in",IF(_xlfn.XLOOKUP(Inputs!$K8,Month,index_month)&lt;=E$1,Inputs!$N8,""),IF(_xlfn.XLOOKUP(Inputs!$K8,Month,index_month)=E$1,Inputs!$N8,"")),""),IF(_xlfn.XLOOKUP(Inputs!$K8,Month,index_month)=E$1,Inputs!$N8,""))</f>
        <v>-121</v>
      </c>
      <c r="F26">
        <f>IF(Inputs!$L8="Ends in", IF(_xlfn.XLOOKUP(Inputs!$M8,Month,index_month)&gt;=F$1, IF(Inputs!$J8="Starts in",IF(_xlfn.XLOOKUP(Inputs!$K8,Month,index_month)&lt;=F$1,Inputs!$N8,""),IF(_xlfn.XLOOKUP(Inputs!$K8,Month,index_month)=F$1,Inputs!$N8,"")),""),IF(_xlfn.XLOOKUP(Inputs!$K8,Month,index_month)=F$1,Inputs!$N8,""))</f>
        <v>-121</v>
      </c>
      <c r="G26">
        <f>IF(Inputs!$L8="Ends in", IF(_xlfn.XLOOKUP(Inputs!$M8,Month,index_month)&gt;=G$1, IF(Inputs!$J8="Starts in",IF(_xlfn.XLOOKUP(Inputs!$K8,Month,index_month)&lt;=G$1,Inputs!$N8,""),IF(_xlfn.XLOOKUP(Inputs!$K8,Month,index_month)=G$1,Inputs!$N8,"")),""),IF(_xlfn.XLOOKUP(Inputs!$K8,Month,index_month)=G$1,Inputs!$N8,""))</f>
        <v>-121</v>
      </c>
      <c r="H26">
        <f>IF(Inputs!$L8="Ends in", IF(_xlfn.XLOOKUP(Inputs!$M8,Month,index_month)&gt;=H$1, IF(Inputs!$J8="Starts in",IF(_xlfn.XLOOKUP(Inputs!$K8,Month,index_month)&lt;=H$1,Inputs!$N8,""),IF(_xlfn.XLOOKUP(Inputs!$K8,Month,index_month)=H$1,Inputs!$N8,"")),""),IF(_xlfn.XLOOKUP(Inputs!$K8,Month,index_month)=H$1,Inputs!$N8,""))</f>
        <v>-121</v>
      </c>
      <c r="I26">
        <f>IF(Inputs!$L8="Ends in", IF(_xlfn.XLOOKUP(Inputs!$M8,Month,index_month)&gt;=I$1, IF(Inputs!$J8="Starts in",IF(_xlfn.XLOOKUP(Inputs!$K8,Month,index_month)&lt;=I$1,Inputs!$N8,""),IF(_xlfn.XLOOKUP(Inputs!$K8,Month,index_month)=I$1,Inputs!$N8,"")),""),IF(_xlfn.XLOOKUP(Inputs!$K8,Month,index_month)=I$1,Inputs!$N8,""))</f>
        <v>-121</v>
      </c>
      <c r="J26">
        <f>IF(Inputs!$L8="Ends in", IF(_xlfn.XLOOKUP(Inputs!$M8,Month,index_month)&gt;=J$1, IF(Inputs!$J8="Starts in",IF(_xlfn.XLOOKUP(Inputs!$K8,Month,index_month)&lt;=J$1,Inputs!$N8,""),IF(_xlfn.XLOOKUP(Inputs!$K8,Month,index_month)=J$1,Inputs!$N8,"")),""),IF(_xlfn.XLOOKUP(Inputs!$K8,Month,index_month)=J$1,Inputs!$N8,""))</f>
        <v>-121</v>
      </c>
      <c r="K26">
        <f>IF(Inputs!$L8="Ends in", IF(_xlfn.XLOOKUP(Inputs!$M8,Month,index_month)&gt;=K$1, IF(Inputs!$J8="Starts in",IF(_xlfn.XLOOKUP(Inputs!$K8,Month,index_month)&lt;=K$1,Inputs!$N8,""),IF(_xlfn.XLOOKUP(Inputs!$K8,Month,index_month)=K$1,Inputs!$N8,"")),""),IF(_xlfn.XLOOKUP(Inputs!$K8,Month,index_month)=K$1,Inputs!$N8,""))</f>
        <v>-121</v>
      </c>
      <c r="L26">
        <f>IF(Inputs!$L8="Ends in", IF(_xlfn.XLOOKUP(Inputs!$M8,Month,index_month)&gt;=L$1, IF(Inputs!$J8="Starts in",IF(_xlfn.XLOOKUP(Inputs!$K8,Month,index_month)&lt;=L$1,Inputs!$N8,""),IF(_xlfn.XLOOKUP(Inputs!$K8,Month,index_month)=L$1,Inputs!$N8,"")),""),IF(_xlfn.XLOOKUP(Inputs!$K8,Month,index_month)=L$1,Inputs!$N8,""))</f>
        <v>-121</v>
      </c>
      <c r="M26">
        <f>IF(Inputs!$L8="Ends in", IF(_xlfn.XLOOKUP(Inputs!$M8,Month,index_month)&gt;=M$1, IF(Inputs!$J8="Starts in",IF(_xlfn.XLOOKUP(Inputs!$K8,Month,index_month)&lt;=M$1,Inputs!$N8,""),IF(_xlfn.XLOOKUP(Inputs!$K8,Month,index_month)=M$1,Inputs!$N8,"")),""),IF(_xlfn.XLOOKUP(Inputs!$K8,Month,index_month)=M$1,Inputs!$N8,""))</f>
        <v>-121</v>
      </c>
      <c r="N26" s="27">
        <f>IF(Inputs!$L8="Ends in", IF(_xlfn.XLOOKUP(Inputs!$M8,Month,index_month)&gt;=N$1, IF(Inputs!$J8="Starts in",IF(_xlfn.XLOOKUP(Inputs!$K8,Month,index_month)&lt;=N$1,Inputs!$N8,""),IF(_xlfn.XLOOKUP(Inputs!$K8,Month,index_month)=N$1,Inputs!$N8,"")),""),IF(_xlfn.XLOOKUP(Inputs!$K8,Month,index_month)=N$1,Inputs!$N8,""))</f>
        <v>-121</v>
      </c>
    </row>
    <row r="27" spans="1:14" x14ac:dyDescent="0.3">
      <c r="B27" s="23" t="str">
        <f>Inputs!I9</f>
        <v>Loan repayment</v>
      </c>
      <c r="C27">
        <f>IF(Inputs!$L9="Ends in", IF(_xlfn.XLOOKUP(Inputs!$M9,Month,index_month)&gt;=C$1, IF(Inputs!$J9="Starts in",IF(_xlfn.XLOOKUP(Inputs!$K9,Month,index_month)&lt;=C$1,Inputs!$N9,""),IF(_xlfn.XLOOKUP(Inputs!$K9,Month,index_month)=C$1,Inputs!$N9,"")),""),IF(_xlfn.XLOOKUP(Inputs!$K9,Month,index_month)=C$1,Inputs!$N9,""))</f>
        <v>-44</v>
      </c>
      <c r="D27">
        <f>IF(Inputs!$L9="Ends in", IF(_xlfn.XLOOKUP(Inputs!$M9,Month,index_month)&gt;=D$1, IF(Inputs!$J9="Starts in",IF(_xlfn.XLOOKUP(Inputs!$K9,Month,index_month)&lt;=D$1,Inputs!$N9,""),IF(_xlfn.XLOOKUP(Inputs!$K9,Month,index_month)=D$1,Inputs!$N9,"")),""),IF(_xlfn.XLOOKUP(Inputs!$K9,Month,index_month)=D$1,Inputs!$N9,""))</f>
        <v>-44</v>
      </c>
      <c r="E27">
        <f>IF(Inputs!$L9="Ends in", IF(_xlfn.XLOOKUP(Inputs!$M9,Month,index_month)&gt;=E$1, IF(Inputs!$J9="Starts in",IF(_xlfn.XLOOKUP(Inputs!$K9,Month,index_month)&lt;=E$1,Inputs!$N9,""),IF(_xlfn.XLOOKUP(Inputs!$K9,Month,index_month)=E$1,Inputs!$N9,"")),""),IF(_xlfn.XLOOKUP(Inputs!$K9,Month,index_month)=E$1,Inputs!$N9,""))</f>
        <v>-44</v>
      </c>
      <c r="F27">
        <f>IF(Inputs!$L9="Ends in", IF(_xlfn.XLOOKUP(Inputs!$M9,Month,index_month)&gt;=F$1, IF(Inputs!$J9="Starts in",IF(_xlfn.XLOOKUP(Inputs!$K9,Month,index_month)&lt;=F$1,Inputs!$N9,""),IF(_xlfn.XLOOKUP(Inputs!$K9,Month,index_month)=F$1,Inputs!$N9,"")),""),IF(_xlfn.XLOOKUP(Inputs!$K9,Month,index_month)=F$1,Inputs!$N9,""))</f>
        <v>-44</v>
      </c>
      <c r="G27">
        <f>IF(Inputs!$L9="Ends in", IF(_xlfn.XLOOKUP(Inputs!$M9,Month,index_month)&gt;=G$1, IF(Inputs!$J9="Starts in",IF(_xlfn.XLOOKUP(Inputs!$K9,Month,index_month)&lt;=G$1,Inputs!$N9,""),IF(_xlfn.XLOOKUP(Inputs!$K9,Month,index_month)=G$1,Inputs!$N9,"")),""),IF(_xlfn.XLOOKUP(Inputs!$K9,Month,index_month)=G$1,Inputs!$N9,""))</f>
        <v>-44</v>
      </c>
      <c r="H27">
        <f>IF(Inputs!$L9="Ends in", IF(_xlfn.XLOOKUP(Inputs!$M9,Month,index_month)&gt;=H$1, IF(Inputs!$J9="Starts in",IF(_xlfn.XLOOKUP(Inputs!$K9,Month,index_month)&lt;=H$1,Inputs!$N9,""),IF(_xlfn.XLOOKUP(Inputs!$K9,Month,index_month)=H$1,Inputs!$N9,"")),""),IF(_xlfn.XLOOKUP(Inputs!$K9,Month,index_month)=H$1,Inputs!$N9,""))</f>
        <v>-44</v>
      </c>
      <c r="I27">
        <f>IF(Inputs!$L9="Ends in", IF(_xlfn.XLOOKUP(Inputs!$M9,Month,index_month)&gt;=I$1, IF(Inputs!$J9="Starts in",IF(_xlfn.XLOOKUP(Inputs!$K9,Month,index_month)&lt;=I$1,Inputs!$N9,""),IF(_xlfn.XLOOKUP(Inputs!$K9,Month,index_month)=I$1,Inputs!$N9,"")),""),IF(_xlfn.XLOOKUP(Inputs!$K9,Month,index_month)=I$1,Inputs!$N9,""))</f>
        <v>-44</v>
      </c>
      <c r="J27">
        <f>IF(Inputs!$L9="Ends in", IF(_xlfn.XLOOKUP(Inputs!$M9,Month,index_month)&gt;=J$1, IF(Inputs!$J9="Starts in",IF(_xlfn.XLOOKUP(Inputs!$K9,Month,index_month)&lt;=J$1,Inputs!$N9,""),IF(_xlfn.XLOOKUP(Inputs!$K9,Month,index_month)=J$1,Inputs!$N9,"")),""),IF(_xlfn.XLOOKUP(Inputs!$K9,Month,index_month)=J$1,Inputs!$N9,""))</f>
        <v>-44</v>
      </c>
      <c r="K27">
        <f>IF(Inputs!$L9="Ends in", IF(_xlfn.XLOOKUP(Inputs!$M9,Month,index_month)&gt;=K$1, IF(Inputs!$J9="Starts in",IF(_xlfn.XLOOKUP(Inputs!$K9,Month,index_month)&lt;=K$1,Inputs!$N9,""),IF(_xlfn.XLOOKUP(Inputs!$K9,Month,index_month)=K$1,Inputs!$N9,"")),""),IF(_xlfn.XLOOKUP(Inputs!$K9,Month,index_month)=K$1,Inputs!$N9,""))</f>
        <v>-44</v>
      </c>
      <c r="L27">
        <f>IF(Inputs!$L9="Ends in", IF(_xlfn.XLOOKUP(Inputs!$M9,Month,index_month)&gt;=L$1, IF(Inputs!$J9="Starts in",IF(_xlfn.XLOOKUP(Inputs!$K9,Month,index_month)&lt;=L$1,Inputs!$N9,""),IF(_xlfn.XLOOKUP(Inputs!$K9,Month,index_month)=L$1,Inputs!$N9,"")),""),IF(_xlfn.XLOOKUP(Inputs!$K9,Month,index_month)=L$1,Inputs!$N9,""))</f>
        <v>-44</v>
      </c>
      <c r="M27">
        <f>IF(Inputs!$L9="Ends in", IF(_xlfn.XLOOKUP(Inputs!$M9,Month,index_month)&gt;=M$1, IF(Inputs!$J9="Starts in",IF(_xlfn.XLOOKUP(Inputs!$K9,Month,index_month)&lt;=M$1,Inputs!$N9,""),IF(_xlfn.XLOOKUP(Inputs!$K9,Month,index_month)=M$1,Inputs!$N9,"")),""),IF(_xlfn.XLOOKUP(Inputs!$K9,Month,index_month)=M$1,Inputs!$N9,""))</f>
        <v>-44</v>
      </c>
      <c r="N27" s="27">
        <f>IF(Inputs!$L9="Ends in", IF(_xlfn.XLOOKUP(Inputs!$M9,Month,index_month)&gt;=N$1, IF(Inputs!$J9="Starts in",IF(_xlfn.XLOOKUP(Inputs!$K9,Month,index_month)&lt;=N$1,Inputs!$N9,""),IF(_xlfn.XLOOKUP(Inputs!$K9,Month,index_month)=N$1,Inputs!$N9,"")),""),IF(_xlfn.XLOOKUP(Inputs!$K9,Month,index_month)=N$1,Inputs!$N9,""))</f>
        <v>-44</v>
      </c>
    </row>
    <row r="28" spans="1:14" ht="15" thickBot="1" x14ac:dyDescent="0.35">
      <c r="B28" s="24" t="str">
        <f>Inputs!I10</f>
        <v>Renovation</v>
      </c>
      <c r="C28" s="3">
        <f>IF(Inputs!$L10="Ends in", IF(_xlfn.XLOOKUP('Calculation menu'!$A19,Month,index_month)&gt;=C$1, IF(Inputs!$J10="Starts in",IF(_xlfn.XLOOKUP(Inputs!$K10,Month,index_month)&lt;=C$1,Inputs!$N10,""),IF(_xlfn.XLOOKUP(Inputs!$K10,Month,index_month)=C$1,Inputs!$N10,"")),""),IF(_xlfn.XLOOKUP(Inputs!$K10,Month,index_month)=C$1,Inputs!$N10,""))</f>
        <v>-1000</v>
      </c>
      <c r="D28" s="3">
        <f>IF(Inputs!$L10="Ends in", IF(_xlfn.XLOOKUP('Calculation menu'!$A19,Month,index_month)&gt;=D$1, IF(Inputs!$J10="Starts in",IF(_xlfn.XLOOKUP(Inputs!$K10,Month,index_month)&lt;=D$1,Inputs!$N10,""),IF(_xlfn.XLOOKUP(Inputs!$K10,Month,index_month)=D$1,Inputs!$N10,"")),""),IF(_xlfn.XLOOKUP(Inputs!$K10,Month,index_month)=D$1,Inputs!$N10,""))</f>
        <v>-1000</v>
      </c>
      <c r="E28" s="3">
        <f>IF(Inputs!$L10="Ends in", IF(_xlfn.XLOOKUP('Calculation menu'!$A19,Month,index_month)&gt;=E$1, IF(Inputs!$J10="Starts in",IF(_xlfn.XLOOKUP(Inputs!$K10,Month,index_month)&lt;=E$1,Inputs!$N10,""),IF(_xlfn.XLOOKUP(Inputs!$K10,Month,index_month)=E$1,Inputs!$N10,"")),""),IF(_xlfn.XLOOKUP(Inputs!$K10,Month,index_month)=E$1,Inputs!$N10,""))</f>
        <v>-1000</v>
      </c>
      <c r="F28" s="3">
        <f>IF(Inputs!$L10="Ends in", IF(_xlfn.XLOOKUP('Calculation menu'!$A19,Month,index_month)&gt;=F$1, IF(Inputs!$J10="Starts in",IF(_xlfn.XLOOKUP(Inputs!$K10,Month,index_month)&lt;=F$1,Inputs!$N10,""),IF(_xlfn.XLOOKUP(Inputs!$K10,Month,index_month)=F$1,Inputs!$N10,"")),""),IF(_xlfn.XLOOKUP(Inputs!$K10,Month,index_month)=F$1,Inputs!$N10,""))</f>
        <v>-1000</v>
      </c>
      <c r="G28" s="3" t="str">
        <f>IF(Inputs!$L10="Ends in", IF(_xlfn.XLOOKUP('Calculation menu'!$A19,Month,index_month)&gt;=G$1, IF(Inputs!$J10="Starts in",IF(_xlfn.XLOOKUP(Inputs!$K10,Month,index_month)&lt;=G$1,Inputs!$N10,""),IF(_xlfn.XLOOKUP(Inputs!$K10,Month,index_month)=G$1,Inputs!$N10,"")),""),IF(_xlfn.XLOOKUP(Inputs!$K10,Month,index_month)=G$1,Inputs!$N10,""))</f>
        <v/>
      </c>
      <c r="H28" s="3" t="str">
        <f>IF(Inputs!$L10="Ends in", IF(_xlfn.XLOOKUP('Calculation menu'!$A19,Month,index_month)&gt;=H$1, IF(Inputs!$J10="Starts in",IF(_xlfn.XLOOKUP(Inputs!$K10,Month,index_month)&lt;=H$1,Inputs!$N10,""),IF(_xlfn.XLOOKUP(Inputs!$K10,Month,index_month)=H$1,Inputs!$N10,"")),""),IF(_xlfn.XLOOKUP(Inputs!$K10,Month,index_month)=H$1,Inputs!$N10,""))</f>
        <v/>
      </c>
      <c r="I28" s="3" t="str">
        <f>IF(Inputs!$L10="Ends in", IF(_xlfn.XLOOKUP('Calculation menu'!$A19,Month,index_month)&gt;=I$1, IF(Inputs!$J10="Starts in",IF(_xlfn.XLOOKUP(Inputs!$K10,Month,index_month)&lt;=I$1,Inputs!$N10,""),IF(_xlfn.XLOOKUP(Inputs!$K10,Month,index_month)=I$1,Inputs!$N10,"")),""),IF(_xlfn.XLOOKUP(Inputs!$K10,Month,index_month)=I$1,Inputs!$N10,""))</f>
        <v/>
      </c>
      <c r="J28" s="3" t="str">
        <f>IF(Inputs!$L10="Ends in", IF(_xlfn.XLOOKUP('Calculation menu'!$A19,Month,index_month)&gt;=J$1, IF(Inputs!$J10="Starts in",IF(_xlfn.XLOOKUP(Inputs!$K10,Month,index_month)&lt;=J$1,Inputs!$N10,""),IF(_xlfn.XLOOKUP(Inputs!$K10,Month,index_month)=J$1,Inputs!$N10,"")),""),IF(_xlfn.XLOOKUP(Inputs!$K10,Month,index_month)=J$1,Inputs!$N10,""))</f>
        <v/>
      </c>
      <c r="K28" s="3" t="str">
        <f>IF(Inputs!$L10="Ends in", IF(_xlfn.XLOOKUP('Calculation menu'!$A19,Month,index_month)&gt;=K$1, IF(Inputs!$J10="Starts in",IF(_xlfn.XLOOKUP(Inputs!$K10,Month,index_month)&lt;=K$1,Inputs!$N10,""),IF(_xlfn.XLOOKUP(Inputs!$K10,Month,index_month)=K$1,Inputs!$N10,"")),""),IF(_xlfn.XLOOKUP(Inputs!$K10,Month,index_month)=K$1,Inputs!$N10,""))</f>
        <v/>
      </c>
      <c r="L28" s="3" t="str">
        <f>IF(Inputs!$L10="Ends in", IF(_xlfn.XLOOKUP('Calculation menu'!$A19,Month,index_month)&gt;=L$1, IF(Inputs!$J10="Starts in",IF(_xlfn.XLOOKUP(Inputs!$K10,Month,index_month)&lt;=L$1,Inputs!$N10,""),IF(_xlfn.XLOOKUP(Inputs!$K10,Month,index_month)=L$1,Inputs!$N10,"")),""),IF(_xlfn.XLOOKUP(Inputs!$K10,Month,index_month)=L$1,Inputs!$N10,""))</f>
        <v/>
      </c>
      <c r="M28" s="3" t="str">
        <f>IF(Inputs!$L10="Ends in", IF(_xlfn.XLOOKUP('Calculation menu'!$A19,Month,index_month)&gt;=M$1, IF(Inputs!$J10="Starts in",IF(_xlfn.XLOOKUP(Inputs!$K10,Month,index_month)&lt;=M$1,Inputs!$N10,""),IF(_xlfn.XLOOKUP(Inputs!$K10,Month,index_month)=M$1,Inputs!$N10,"")),""),IF(_xlfn.XLOOKUP(Inputs!$K10,Month,index_month)=M$1,Inputs!$N10,""))</f>
        <v/>
      </c>
      <c r="N28" s="28" t="str">
        <f>IF(Inputs!$L10="Ends in", IF(_xlfn.XLOOKUP('Calculation menu'!$A19,Month,index_month)&gt;=N$1, IF(Inputs!$J10="Starts in",IF(_xlfn.XLOOKUP(Inputs!$K10,Month,index_month)&lt;=N$1,Inputs!$N10,""),IF(_xlfn.XLOOKUP(Inputs!$K10,Month,index_month)=N$1,Inputs!$N10,"")),""),IF(_xlfn.XLOOKUP(Inputs!$K10,Month,index_month)=N$1,Inputs!$N10,""))</f>
        <v/>
      </c>
    </row>
    <row r="29" spans="1:14" ht="15" thickTop="1" x14ac:dyDescent="0.3">
      <c r="B29" t="s">
        <v>36</v>
      </c>
      <c r="C29">
        <f>SUM(C23:C28)</f>
        <v>-1165</v>
      </c>
      <c r="D29">
        <f t="shared" ref="D29:N29" si="2">SUM(D23:D28)</f>
        <v>-1165</v>
      </c>
      <c r="E29">
        <f t="shared" si="2"/>
        <v>-1165</v>
      </c>
      <c r="F29">
        <f t="shared" si="2"/>
        <v>-1165</v>
      </c>
      <c r="G29">
        <f t="shared" si="2"/>
        <v>435</v>
      </c>
      <c r="H29">
        <f t="shared" si="2"/>
        <v>435</v>
      </c>
      <c r="I29">
        <f t="shared" si="2"/>
        <v>435</v>
      </c>
      <c r="J29">
        <f t="shared" si="2"/>
        <v>435</v>
      </c>
      <c r="K29">
        <f t="shared" si="2"/>
        <v>435</v>
      </c>
      <c r="L29">
        <f t="shared" si="2"/>
        <v>435</v>
      </c>
      <c r="M29">
        <f t="shared" si="2"/>
        <v>435</v>
      </c>
      <c r="N29">
        <f t="shared" si="2"/>
        <v>435</v>
      </c>
    </row>
    <row r="30" spans="1:14" s="2" customFormat="1" x14ac:dyDescent="0.3"/>
    <row r="31" spans="1:14" s="2" customFormat="1" x14ac:dyDescent="0.3">
      <c r="B31" s="26" t="s">
        <v>42</v>
      </c>
      <c r="C31" s="23" t="str" cm="1">
        <f t="array" ref="C31:N31">TRANSPOSE(Month)</f>
        <v>Jan</v>
      </c>
      <c r="D31" s="23" t="str">
        <v>Feb</v>
      </c>
      <c r="E31" s="23" t="str">
        <v>Mar</v>
      </c>
      <c r="F31" s="23" t="str">
        <v>Apr</v>
      </c>
      <c r="G31" s="23" t="str">
        <v>May</v>
      </c>
      <c r="H31" s="23" t="str">
        <v>Jun</v>
      </c>
      <c r="I31" s="23" t="str">
        <v>Jul</v>
      </c>
      <c r="J31" s="23" t="str">
        <v>Aug</v>
      </c>
      <c r="K31" s="23" t="str">
        <v>Sep</v>
      </c>
      <c r="L31" s="23" t="str">
        <v>Oct</v>
      </c>
      <c r="M31" s="23" t="str">
        <v>Nov</v>
      </c>
      <c r="N31" s="23" t="str">
        <v>Dec</v>
      </c>
    </row>
    <row r="32" spans="1:14" s="2" customFormat="1" x14ac:dyDescent="0.3">
      <c r="B32" s="25" t="str">
        <f>Inputs!I15</f>
        <v>Banking costs</v>
      </c>
      <c r="C32" s="2">
        <f>IF(Inputs!$L15="Ends in", IF(_xlfn.XLOOKUP(Inputs!$M15,Month,index_month)&gt;=C$1, IF(Inputs!$J15="Starts in",IF(_xlfn.XLOOKUP(Inputs!$K15,Month,index_month)&lt;=C$1,Inputs!$N15,""),IF(_xlfn.XLOOKUP(Inputs!$K15,Month,index_month)=C$1,Inputs!$N15,"")),""),IF(_xlfn.XLOOKUP(Inputs!$K15,Month,index_month)=C$1,Inputs!$N15,""))</f>
        <v>-10</v>
      </c>
      <c r="D32" s="2">
        <f>IF(Inputs!$L15="Ends in", IF(_xlfn.XLOOKUP(Inputs!$M15,Month,index_month)&gt;=D$1, IF(Inputs!$J15="Starts in",IF(_xlfn.XLOOKUP(Inputs!$K15,Month,index_month)&lt;=D$1,Inputs!$N15,""),IF(_xlfn.XLOOKUP(Inputs!$K15,Month,index_month)=D$1,Inputs!$N15,"")),""),IF(_xlfn.XLOOKUP(Inputs!$K15,Month,index_month)=D$1,Inputs!$N15,""))</f>
        <v>-10</v>
      </c>
      <c r="E32" s="2">
        <f>IF(Inputs!$L15="Ends in", IF(_xlfn.XLOOKUP(Inputs!$M15,Month,index_month)&gt;=E$1, IF(Inputs!$J15="Starts in",IF(_xlfn.XLOOKUP(Inputs!$K15,Month,index_month)&lt;=E$1,Inputs!$N15,""),IF(_xlfn.XLOOKUP(Inputs!$K15,Month,index_month)=E$1,Inputs!$N15,"")),""),IF(_xlfn.XLOOKUP(Inputs!$K15,Month,index_month)=E$1,Inputs!$N15,""))</f>
        <v>-10</v>
      </c>
      <c r="F32" s="2">
        <f>IF(Inputs!$L15="Ends in", IF(_xlfn.XLOOKUP(Inputs!$M15,Month,index_month)&gt;=F$1, IF(Inputs!$J15="Starts in",IF(_xlfn.XLOOKUP(Inputs!$K15,Month,index_month)&lt;=F$1,Inputs!$N15,""),IF(_xlfn.XLOOKUP(Inputs!$K15,Month,index_month)=F$1,Inputs!$N15,"")),""),IF(_xlfn.XLOOKUP(Inputs!$K15,Month,index_month)=F$1,Inputs!$N15,""))</f>
        <v>-10</v>
      </c>
      <c r="G32" s="2">
        <f>IF(Inputs!$L15="Ends in", IF(_xlfn.XLOOKUP(Inputs!$M15,Month,index_month)&gt;=G$1, IF(Inputs!$J15="Starts in",IF(_xlfn.XLOOKUP(Inputs!$K15,Month,index_month)&lt;=G$1,Inputs!$N15,""),IF(_xlfn.XLOOKUP(Inputs!$K15,Month,index_month)=G$1,Inputs!$N15,"")),""),IF(_xlfn.XLOOKUP(Inputs!$K15,Month,index_month)=G$1,Inputs!$N15,""))</f>
        <v>-10</v>
      </c>
      <c r="H32" s="2">
        <f>IF(Inputs!$L15="Ends in", IF(_xlfn.XLOOKUP(Inputs!$M15,Month,index_month)&gt;=H$1, IF(Inputs!$J15="Starts in",IF(_xlfn.XLOOKUP(Inputs!$K15,Month,index_month)&lt;=H$1,Inputs!$N15,""),IF(_xlfn.XLOOKUP(Inputs!$K15,Month,index_month)=H$1,Inputs!$N15,"")),""),IF(_xlfn.XLOOKUP(Inputs!$K15,Month,index_month)=H$1,Inputs!$N15,""))</f>
        <v>-10</v>
      </c>
      <c r="I32" s="2">
        <f>IF(Inputs!$L15="Ends in", IF(_xlfn.XLOOKUP(Inputs!$M15,Month,index_month)&gt;=I$1, IF(Inputs!$J15="Starts in",IF(_xlfn.XLOOKUP(Inputs!$K15,Month,index_month)&lt;=I$1,Inputs!$N15,""),IF(_xlfn.XLOOKUP(Inputs!$K15,Month,index_month)=I$1,Inputs!$N15,"")),""),IF(_xlfn.XLOOKUP(Inputs!$K15,Month,index_month)=I$1,Inputs!$N15,""))</f>
        <v>-10</v>
      </c>
      <c r="J32" s="2">
        <f>IF(Inputs!$L15="Ends in", IF(_xlfn.XLOOKUP(Inputs!$M15,Month,index_month)&gt;=J$1, IF(Inputs!$J15="Starts in",IF(_xlfn.XLOOKUP(Inputs!$K15,Month,index_month)&lt;=J$1,Inputs!$N15,""),IF(_xlfn.XLOOKUP(Inputs!$K15,Month,index_month)=J$1,Inputs!$N15,"")),""),IF(_xlfn.XLOOKUP(Inputs!$K15,Month,index_month)=J$1,Inputs!$N15,""))</f>
        <v>-10</v>
      </c>
      <c r="K32" s="2">
        <f>IF(Inputs!$L15="Ends in", IF(_xlfn.XLOOKUP(Inputs!$M15,Month,index_month)&gt;=K$1, IF(Inputs!$J15="Starts in",IF(_xlfn.XLOOKUP(Inputs!$K15,Month,index_month)&lt;=K$1,Inputs!$N15,""),IF(_xlfn.XLOOKUP(Inputs!$K15,Month,index_month)=K$1,Inputs!$N15,"")),""),IF(_xlfn.XLOOKUP(Inputs!$K15,Month,index_month)=K$1,Inputs!$N15,""))</f>
        <v>-10</v>
      </c>
      <c r="L32" s="2">
        <f>IF(Inputs!$L15="Ends in", IF(_xlfn.XLOOKUP(Inputs!$M15,Month,index_month)&gt;=L$1, IF(Inputs!$J15="Starts in",IF(_xlfn.XLOOKUP(Inputs!$K15,Month,index_month)&lt;=L$1,Inputs!$N15,""),IF(_xlfn.XLOOKUP(Inputs!$K15,Month,index_month)=L$1,Inputs!$N15,"")),""),IF(_xlfn.XLOOKUP(Inputs!$K15,Month,index_month)=L$1,Inputs!$N15,""))</f>
        <v>-10</v>
      </c>
      <c r="M32" s="2">
        <f>IF(Inputs!$L15="Ends in", IF(_xlfn.XLOOKUP(Inputs!$M15,Month,index_month)&gt;=M$1, IF(Inputs!$J15="Starts in",IF(_xlfn.XLOOKUP(Inputs!$K15,Month,index_month)&lt;=M$1,Inputs!$N15,""),IF(_xlfn.XLOOKUP(Inputs!$K15,Month,index_month)=M$1,Inputs!$N15,"")),""),IF(_xlfn.XLOOKUP(Inputs!$K15,Month,index_month)=M$1,Inputs!$N15,""))</f>
        <v>-10</v>
      </c>
      <c r="N32" s="27">
        <f>IF(Inputs!$L15="Ends in", IF(_xlfn.XLOOKUP(Inputs!$M15,Month,index_month)&gt;=N$1, IF(Inputs!$J15="Starts in",IF(_xlfn.XLOOKUP(Inputs!$K15,Month,index_month)&lt;=N$1,Inputs!$N15,""),IF(_xlfn.XLOOKUP(Inputs!$K15,Month,index_month)=N$1,Inputs!$N15,"")),""),IF(_xlfn.XLOOKUP(Inputs!$K15,Month,index_month)=N$1,Inputs!$N15,""))</f>
        <v>-10</v>
      </c>
    </row>
    <row r="33" spans="2:14" s="2" customFormat="1" x14ac:dyDescent="0.3">
      <c r="B33" s="23" t="str">
        <f>Inputs!I16</f>
        <v>Office miscellaneous costs</v>
      </c>
      <c r="C33" s="2">
        <f>IF(Inputs!$L16="Ends in", IF(_xlfn.XLOOKUP(Inputs!$M16,Month,index_month)&gt;=C$1, IF(Inputs!$J16="Starts in",IF(_xlfn.XLOOKUP(Inputs!$K16,Month,index_month)&lt;=C$1,Inputs!$N16,""),IF(_xlfn.XLOOKUP(Inputs!$K16,Month,index_month)=C$1,Inputs!$N16,"")),""),IF(_xlfn.XLOOKUP(Inputs!$K16,Month,index_month)=C$1,Inputs!$N16,""))</f>
        <v>-55</v>
      </c>
      <c r="D33" s="2">
        <f>IF(Inputs!$L16="Ends in", IF(_xlfn.XLOOKUP(Inputs!$M16,Month,index_month)&gt;=D$1, IF(Inputs!$J16="Starts in",IF(_xlfn.XLOOKUP(Inputs!$K16,Month,index_month)&lt;=D$1,Inputs!$N16,""),IF(_xlfn.XLOOKUP(Inputs!$K16,Month,index_month)=D$1,Inputs!$N16,"")),""),IF(_xlfn.XLOOKUP(Inputs!$K16,Month,index_month)=D$1,Inputs!$N16,""))</f>
        <v>-55</v>
      </c>
      <c r="E33" s="2">
        <f>IF(Inputs!$L16="Ends in", IF(_xlfn.XLOOKUP(Inputs!$M16,Month,index_month)&gt;=E$1, IF(Inputs!$J16="Starts in",IF(_xlfn.XLOOKUP(Inputs!$K16,Month,index_month)&lt;=E$1,Inputs!$N16,""),IF(_xlfn.XLOOKUP(Inputs!$K16,Month,index_month)=E$1,Inputs!$N16,"")),""),IF(_xlfn.XLOOKUP(Inputs!$K16,Month,index_month)=E$1,Inputs!$N16,""))</f>
        <v>-55</v>
      </c>
      <c r="F33" s="2">
        <f>IF(Inputs!$L16="Ends in", IF(_xlfn.XLOOKUP(Inputs!$M16,Month,index_month)&gt;=F$1, IF(Inputs!$J16="Starts in",IF(_xlfn.XLOOKUP(Inputs!$K16,Month,index_month)&lt;=F$1,Inputs!$N16,""),IF(_xlfn.XLOOKUP(Inputs!$K16,Month,index_month)=F$1,Inputs!$N16,"")),""),IF(_xlfn.XLOOKUP(Inputs!$K16,Month,index_month)=F$1,Inputs!$N16,""))</f>
        <v>-55</v>
      </c>
      <c r="G33" s="2">
        <f>IF(Inputs!$L16="Ends in", IF(_xlfn.XLOOKUP(Inputs!$M16,Month,index_month)&gt;=G$1, IF(Inputs!$J16="Starts in",IF(_xlfn.XLOOKUP(Inputs!$K16,Month,index_month)&lt;=G$1,Inputs!$N16,""),IF(_xlfn.XLOOKUP(Inputs!$K16,Month,index_month)=G$1,Inputs!$N16,"")),""),IF(_xlfn.XLOOKUP(Inputs!$K16,Month,index_month)=G$1,Inputs!$N16,""))</f>
        <v>-55</v>
      </c>
      <c r="H33" s="2">
        <f>IF(Inputs!$L16="Ends in", IF(_xlfn.XLOOKUP(Inputs!$M16,Month,index_month)&gt;=H$1, IF(Inputs!$J16="Starts in",IF(_xlfn.XLOOKUP(Inputs!$K16,Month,index_month)&lt;=H$1,Inputs!$N16,""),IF(_xlfn.XLOOKUP(Inputs!$K16,Month,index_month)=H$1,Inputs!$N16,"")),""),IF(_xlfn.XLOOKUP(Inputs!$K16,Month,index_month)=H$1,Inputs!$N16,""))</f>
        <v>-55</v>
      </c>
      <c r="I33" s="2">
        <f>IF(Inputs!$L16="Ends in", IF(_xlfn.XLOOKUP(Inputs!$M16,Month,index_month)&gt;=I$1, IF(Inputs!$J16="Starts in",IF(_xlfn.XLOOKUP(Inputs!$K16,Month,index_month)&lt;=I$1,Inputs!$N16,""),IF(_xlfn.XLOOKUP(Inputs!$K16,Month,index_month)=I$1,Inputs!$N16,"")),""),IF(_xlfn.XLOOKUP(Inputs!$K16,Month,index_month)=I$1,Inputs!$N16,""))</f>
        <v>-55</v>
      </c>
      <c r="J33" s="2">
        <f>IF(Inputs!$L16="Ends in", IF(_xlfn.XLOOKUP(Inputs!$M16,Month,index_month)&gt;=J$1, IF(Inputs!$J16="Starts in",IF(_xlfn.XLOOKUP(Inputs!$K16,Month,index_month)&lt;=J$1,Inputs!$N16,""),IF(_xlfn.XLOOKUP(Inputs!$K16,Month,index_month)=J$1,Inputs!$N16,"")),""),IF(_xlfn.XLOOKUP(Inputs!$K16,Month,index_month)=J$1,Inputs!$N16,""))</f>
        <v>-55</v>
      </c>
      <c r="K33" s="2">
        <f>IF(Inputs!$L16="Ends in", IF(_xlfn.XLOOKUP(Inputs!$M16,Month,index_month)&gt;=K$1, IF(Inputs!$J16="Starts in",IF(_xlfn.XLOOKUP(Inputs!$K16,Month,index_month)&lt;=K$1,Inputs!$N16,""),IF(_xlfn.XLOOKUP(Inputs!$K16,Month,index_month)=K$1,Inputs!$N16,"")),""),IF(_xlfn.XLOOKUP(Inputs!$K16,Month,index_month)=K$1,Inputs!$N16,""))</f>
        <v>-55</v>
      </c>
      <c r="L33" s="2">
        <f>IF(Inputs!$L16="Ends in", IF(_xlfn.XLOOKUP(Inputs!$M16,Month,index_month)&gt;=L$1, IF(Inputs!$J16="Starts in",IF(_xlfn.XLOOKUP(Inputs!$K16,Month,index_month)&lt;=L$1,Inputs!$N16,""),IF(_xlfn.XLOOKUP(Inputs!$K16,Month,index_month)=L$1,Inputs!$N16,"")),""),IF(_xlfn.XLOOKUP(Inputs!$K16,Month,index_month)=L$1,Inputs!$N16,""))</f>
        <v>-55</v>
      </c>
      <c r="M33" s="2">
        <f>IF(Inputs!$L16="Ends in", IF(_xlfn.XLOOKUP(Inputs!$M16,Month,index_month)&gt;=M$1, IF(Inputs!$J16="Starts in",IF(_xlfn.XLOOKUP(Inputs!$K16,Month,index_month)&lt;=M$1,Inputs!$N16,""),IF(_xlfn.XLOOKUP(Inputs!$K16,Month,index_month)=M$1,Inputs!$N16,"")),""),IF(_xlfn.XLOOKUP(Inputs!$K16,Month,index_month)=M$1,Inputs!$N16,""))</f>
        <v>-55</v>
      </c>
      <c r="N33" s="27">
        <f>IF(Inputs!$L16="Ends in", IF(_xlfn.XLOOKUP(Inputs!$M16,Month,index_month)&gt;=N$1, IF(Inputs!$J16="Starts in",IF(_xlfn.XLOOKUP(Inputs!$K16,Month,index_month)&lt;=N$1,Inputs!$N16,""),IF(_xlfn.XLOOKUP(Inputs!$K16,Month,index_month)=N$1,Inputs!$N16,"")),""),IF(_xlfn.XLOOKUP(Inputs!$K16,Month,index_month)=N$1,Inputs!$N16,""))</f>
        <v>-55</v>
      </c>
    </row>
    <row r="34" spans="2:14" s="2" customFormat="1" x14ac:dyDescent="0.3">
      <c r="B34" s="23" t="str">
        <f>Inputs!I17</f>
        <v>Book-keeping costs</v>
      </c>
      <c r="C34" s="2" t="str">
        <f>IF(Inputs!$L17="Ends in", IF(_xlfn.XLOOKUP(Inputs!$M17,Month,index_month)&gt;=C$1, IF(Inputs!$J17="Starts in",IF(_xlfn.XLOOKUP(Inputs!$K17,Month,index_month)&lt;=C$1,Inputs!$N17,""),IF(_xlfn.XLOOKUP(Inputs!$K17,Month,index_month)=C$1,Inputs!$N17,"")),""),IF(_xlfn.XLOOKUP(Inputs!$K17,Month,index_month)=C$1,Inputs!$N17,""))</f>
        <v/>
      </c>
      <c r="D34" s="2" t="str">
        <f>IF(Inputs!$L17="Ends in", IF(_xlfn.XLOOKUP(Inputs!$M17,Month,index_month)&gt;=D$1, IF(Inputs!$J17="Starts in",IF(_xlfn.XLOOKUP(Inputs!$K17,Month,index_month)&lt;=D$1,Inputs!$N17,""),IF(_xlfn.XLOOKUP(Inputs!$K17,Month,index_month)=D$1,Inputs!$N17,"")),""),IF(_xlfn.XLOOKUP(Inputs!$K17,Month,index_month)=D$1,Inputs!$N17,""))</f>
        <v/>
      </c>
      <c r="E34" s="2">
        <f>IF(Inputs!$L17="Ends in", IF(_xlfn.XLOOKUP(Inputs!$M17,Month,index_month)&gt;=E$1, IF(Inputs!$J17="Starts in",IF(_xlfn.XLOOKUP(Inputs!$K17,Month,index_month)&lt;=E$1,Inputs!$N17,""),IF(_xlfn.XLOOKUP(Inputs!$K17,Month,index_month)=E$1,Inputs!$N17,"")),""),IF(_xlfn.XLOOKUP(Inputs!$K17,Month,index_month)=E$1,Inputs!$N17,""))</f>
        <v>-300</v>
      </c>
      <c r="F34" s="2" t="str">
        <f>IF(Inputs!$L17="Ends in", IF(_xlfn.XLOOKUP(Inputs!$M17,Month,index_month)&gt;=F$1, IF(Inputs!$J17="Starts in",IF(_xlfn.XLOOKUP(Inputs!$K17,Month,index_month)&lt;=F$1,Inputs!$N17,""),IF(_xlfn.XLOOKUP(Inputs!$K17,Month,index_month)=F$1,Inputs!$N17,"")),""),IF(_xlfn.XLOOKUP(Inputs!$K17,Month,index_month)=F$1,Inputs!$N17,""))</f>
        <v/>
      </c>
      <c r="G34" s="2" t="str">
        <f>IF(Inputs!$L17="Ends in", IF(_xlfn.XLOOKUP(Inputs!$M17,Month,index_month)&gt;=G$1, IF(Inputs!$J17="Starts in",IF(_xlfn.XLOOKUP(Inputs!$K17,Month,index_month)&lt;=G$1,Inputs!$N17,""),IF(_xlfn.XLOOKUP(Inputs!$K17,Month,index_month)=G$1,Inputs!$N17,"")),""),IF(_xlfn.XLOOKUP(Inputs!$K17,Month,index_month)=G$1,Inputs!$N17,""))</f>
        <v/>
      </c>
      <c r="H34" s="2" t="str">
        <f>IF(Inputs!$L17="Ends in", IF(_xlfn.XLOOKUP(Inputs!$M17,Month,index_month)&gt;=H$1, IF(Inputs!$J17="Starts in",IF(_xlfn.XLOOKUP(Inputs!$K17,Month,index_month)&lt;=H$1,Inputs!$N17,""),IF(_xlfn.XLOOKUP(Inputs!$K17,Month,index_month)=H$1,Inputs!$N17,"")),""),IF(_xlfn.XLOOKUP(Inputs!$K17,Month,index_month)=H$1,Inputs!$N17,""))</f>
        <v/>
      </c>
      <c r="I34" s="2" t="str">
        <f>IF(Inputs!$L17="Ends in", IF(_xlfn.XLOOKUP(Inputs!$M17,Month,index_month)&gt;=I$1, IF(Inputs!$J17="Starts in",IF(_xlfn.XLOOKUP(Inputs!$K17,Month,index_month)&lt;=I$1,Inputs!$N17,""),IF(_xlfn.XLOOKUP(Inputs!$K17,Month,index_month)=I$1,Inputs!$N17,"")),""),IF(_xlfn.XLOOKUP(Inputs!$K17,Month,index_month)=I$1,Inputs!$N17,""))</f>
        <v/>
      </c>
      <c r="J34" s="2" t="str">
        <f>IF(Inputs!$L17="Ends in", IF(_xlfn.XLOOKUP(Inputs!$M17,Month,index_month)&gt;=J$1, IF(Inputs!$J17="Starts in",IF(_xlfn.XLOOKUP(Inputs!$K17,Month,index_month)&lt;=J$1,Inputs!$N17,""),IF(_xlfn.XLOOKUP(Inputs!$K17,Month,index_month)=J$1,Inputs!$N17,"")),""),IF(_xlfn.XLOOKUP(Inputs!$K17,Month,index_month)=J$1,Inputs!$N17,""))</f>
        <v/>
      </c>
      <c r="K34" s="2" t="str">
        <f>IF(Inputs!$L17="Ends in", IF(_xlfn.XLOOKUP(Inputs!$M17,Month,index_month)&gt;=K$1, IF(Inputs!$J17="Starts in",IF(_xlfn.XLOOKUP(Inputs!$K17,Month,index_month)&lt;=K$1,Inputs!$N17,""),IF(_xlfn.XLOOKUP(Inputs!$K17,Month,index_month)=K$1,Inputs!$N17,"")),""),IF(_xlfn.XLOOKUP(Inputs!$K17,Month,index_month)=K$1,Inputs!$N17,""))</f>
        <v/>
      </c>
      <c r="L34" s="2" t="str">
        <f>IF(Inputs!$L17="Ends in", IF(_xlfn.XLOOKUP(Inputs!$M17,Month,index_month)&gt;=L$1, IF(Inputs!$J17="Starts in",IF(_xlfn.XLOOKUP(Inputs!$K17,Month,index_month)&lt;=L$1,Inputs!$N17,""),IF(_xlfn.XLOOKUP(Inputs!$K17,Month,index_month)=L$1,Inputs!$N17,"")),""),IF(_xlfn.XLOOKUP(Inputs!$K17,Month,index_month)=L$1,Inputs!$N17,""))</f>
        <v/>
      </c>
      <c r="M34" s="2" t="str">
        <f>IF(Inputs!$L17="Ends in", IF(_xlfn.XLOOKUP(Inputs!$M17,Month,index_month)&gt;=M$1, IF(Inputs!$J17="Starts in",IF(_xlfn.XLOOKUP(Inputs!$K17,Month,index_month)&lt;=M$1,Inputs!$N17,""),IF(_xlfn.XLOOKUP(Inputs!$K17,Month,index_month)=M$1,Inputs!$N17,"")),""),IF(_xlfn.XLOOKUP(Inputs!$K17,Month,index_month)=M$1,Inputs!$N17,""))</f>
        <v/>
      </c>
      <c r="N34" s="27" t="str">
        <f>IF(Inputs!$L17="Ends in", IF(_xlfn.XLOOKUP(Inputs!$M17,Month,index_month)&gt;=N$1, IF(Inputs!$J17="Starts in",IF(_xlfn.XLOOKUP(Inputs!$K17,Month,index_month)&lt;=N$1,Inputs!$N17,""),IF(_xlfn.XLOOKUP(Inputs!$K17,Month,index_month)=N$1,Inputs!$N17,"")),""),IF(_xlfn.XLOOKUP(Inputs!$K17,Month,index_month)=N$1,Inputs!$N17,""))</f>
        <v/>
      </c>
    </row>
    <row r="35" spans="2:14" s="2" customFormat="1" x14ac:dyDescent="0.3">
      <c r="B35" s="23" t="str">
        <f>Inputs!I18</f>
        <v>Taxes payable</v>
      </c>
      <c r="C35" s="2" t="str">
        <f>IF(Inputs!$L18="Ends in", IF(_xlfn.XLOOKUP(Inputs!$M18,Month,index_month)&gt;=C$1, IF(Inputs!$J18="Starts in",IF(_xlfn.XLOOKUP(Inputs!$K18,Month,index_month)&lt;=C$1,Inputs!$N18,""),IF(_xlfn.XLOOKUP(Inputs!$K18,Month,index_month)=C$1,Inputs!$N18,"")),""),IF(_xlfn.XLOOKUP(Inputs!$K18,Month,index_month)=C$1,Inputs!$N18,""))</f>
        <v/>
      </c>
      <c r="D35" s="2" t="str">
        <f>IF(Inputs!$L18="Ends in", IF(_xlfn.XLOOKUP(Inputs!$M18,Month,index_month)&gt;=D$1, IF(Inputs!$J18="Starts in",IF(_xlfn.XLOOKUP(Inputs!$K18,Month,index_month)&lt;=D$1,Inputs!$N18,""),IF(_xlfn.XLOOKUP(Inputs!$K18,Month,index_month)=D$1,Inputs!$N18,"")),""),IF(_xlfn.XLOOKUP(Inputs!$K18,Month,index_month)=D$1,Inputs!$N18,""))</f>
        <v/>
      </c>
      <c r="E35" s="2" t="str">
        <f>IF(Inputs!$L18="Ends in", IF(_xlfn.XLOOKUP(Inputs!$M18,Month,index_month)&gt;=E$1, IF(Inputs!$J18="Starts in",IF(_xlfn.XLOOKUP(Inputs!$K18,Month,index_month)&lt;=E$1,Inputs!$N18,""),IF(_xlfn.XLOOKUP(Inputs!$K18,Month,index_month)=E$1,Inputs!$N18,"")),""),IF(_xlfn.XLOOKUP(Inputs!$K18,Month,index_month)=E$1,Inputs!$N18,""))</f>
        <v/>
      </c>
      <c r="F35" s="2" t="str">
        <f>IF(Inputs!$L18="Ends in", IF(_xlfn.XLOOKUP(Inputs!$M18,Month,index_month)&gt;=F$1, IF(Inputs!$J18="Starts in",IF(_xlfn.XLOOKUP(Inputs!$K18,Month,index_month)&lt;=F$1,Inputs!$N18,""),IF(_xlfn.XLOOKUP(Inputs!$K18,Month,index_month)=F$1,Inputs!$N18,"")),""),IF(_xlfn.XLOOKUP(Inputs!$K18,Month,index_month)=F$1,Inputs!$N18,""))</f>
        <v/>
      </c>
      <c r="G35" s="2" t="str">
        <f>IF(Inputs!$L18="Ends in", IF(_xlfn.XLOOKUP(Inputs!$M18,Month,index_month)&gt;=G$1, IF(Inputs!$J18="Starts in",IF(_xlfn.XLOOKUP(Inputs!$K18,Month,index_month)&lt;=G$1,Inputs!$N18,""),IF(_xlfn.XLOOKUP(Inputs!$K18,Month,index_month)=G$1,Inputs!$N18,"")),""),IF(_xlfn.XLOOKUP(Inputs!$K18,Month,index_month)=G$1,Inputs!$N18,""))</f>
        <v/>
      </c>
      <c r="H35" s="2" t="str">
        <f>IF(Inputs!$L18="Ends in", IF(_xlfn.XLOOKUP(Inputs!$M18,Month,index_month)&gt;=H$1, IF(Inputs!$J18="Starts in",IF(_xlfn.XLOOKUP(Inputs!$K18,Month,index_month)&lt;=H$1,Inputs!$N18,""),IF(_xlfn.XLOOKUP(Inputs!$K18,Month,index_month)=H$1,Inputs!$N18,"")),""),IF(_xlfn.XLOOKUP(Inputs!$K18,Month,index_month)=H$1,Inputs!$N18,""))</f>
        <v/>
      </c>
      <c r="I35" s="2" t="str">
        <f>IF(Inputs!$L18="Ends in", IF(_xlfn.XLOOKUP(Inputs!$M18,Month,index_month)&gt;=I$1, IF(Inputs!$J18="Starts in",IF(_xlfn.XLOOKUP(Inputs!$K18,Month,index_month)&lt;=I$1,Inputs!$N18,""),IF(_xlfn.XLOOKUP(Inputs!$K18,Month,index_month)=I$1,Inputs!$N18,"")),""),IF(_xlfn.XLOOKUP(Inputs!$K18,Month,index_month)=I$1,Inputs!$N18,""))</f>
        <v/>
      </c>
      <c r="J35" s="2" t="str">
        <f>IF(Inputs!$L18="Ends in", IF(_xlfn.XLOOKUP(Inputs!$M18,Month,index_month)&gt;=J$1, IF(Inputs!$J18="Starts in",IF(_xlfn.XLOOKUP(Inputs!$K18,Month,index_month)&lt;=J$1,Inputs!$N18,""),IF(_xlfn.XLOOKUP(Inputs!$K18,Month,index_month)=J$1,Inputs!$N18,"")),""),IF(_xlfn.XLOOKUP(Inputs!$K18,Month,index_month)=J$1,Inputs!$N18,""))</f>
        <v/>
      </c>
      <c r="K35" s="2" t="str">
        <f>IF(Inputs!$L18="Ends in", IF(_xlfn.XLOOKUP(Inputs!$M18,Month,index_month)&gt;=K$1, IF(Inputs!$J18="Starts in",IF(_xlfn.XLOOKUP(Inputs!$K18,Month,index_month)&lt;=K$1,Inputs!$N18,""),IF(_xlfn.XLOOKUP(Inputs!$K18,Month,index_month)=K$1,Inputs!$N18,"")),""),IF(_xlfn.XLOOKUP(Inputs!$K18,Month,index_month)=K$1,Inputs!$N18,""))</f>
        <v/>
      </c>
      <c r="L35" s="2">
        <f>IF(Inputs!$L18="Ends in", IF(_xlfn.XLOOKUP(Inputs!$M18,Month,index_month)&gt;=L$1, IF(Inputs!$J18="Starts in",IF(_xlfn.XLOOKUP(Inputs!$K18,Month,index_month)&lt;=L$1,Inputs!$N18,""),IF(_xlfn.XLOOKUP(Inputs!$K18,Month,index_month)=L$1,Inputs!$N18,"")),""),IF(_xlfn.XLOOKUP(Inputs!$K18,Month,index_month)=L$1,Inputs!$N18,""))</f>
        <v>-440</v>
      </c>
      <c r="M35" s="2" t="str">
        <f>IF(Inputs!$L18="Ends in", IF(_xlfn.XLOOKUP(Inputs!$M18,Month,index_month)&gt;=M$1, IF(Inputs!$J18="Starts in",IF(_xlfn.XLOOKUP(Inputs!$K18,Month,index_month)&lt;=M$1,Inputs!$N18,""),IF(_xlfn.XLOOKUP(Inputs!$K18,Month,index_month)=M$1,Inputs!$N18,"")),""),IF(_xlfn.XLOOKUP(Inputs!$K18,Month,index_month)=M$1,Inputs!$N18,""))</f>
        <v/>
      </c>
      <c r="N35" s="27" t="str">
        <f>IF(Inputs!$L18="Ends in", IF(_xlfn.XLOOKUP(Inputs!$M18,Month,index_month)&gt;=N$1, IF(Inputs!$J18="Starts in",IF(_xlfn.XLOOKUP(Inputs!$K18,Month,index_month)&lt;=N$1,Inputs!$N18,""),IF(_xlfn.XLOOKUP(Inputs!$K18,Month,index_month)=N$1,Inputs!$N18,"")),""),IF(_xlfn.XLOOKUP(Inputs!$K18,Month,index_month)=N$1,Inputs!$N18,""))</f>
        <v/>
      </c>
    </row>
    <row r="36" spans="2:14" s="2" customFormat="1" x14ac:dyDescent="0.3">
      <c r="B36" s="23" t="str">
        <f>Inputs!I19</f>
        <v>Miscellaneous costs</v>
      </c>
      <c r="C36" s="2" t="str">
        <f>IF(Inputs!$L19="Ends in", IF(_xlfn.XLOOKUP(Inputs!$M19,Month,index_month)&gt;=C$1, IF(Inputs!$J19="Starts in",IF(_xlfn.XLOOKUP(Inputs!$K19,Month,index_month)&lt;=C$1,Inputs!$N19,""),IF(_xlfn.XLOOKUP(Inputs!$K19,Month,index_month)=C$1,Inputs!$N19,"")),""),IF(_xlfn.XLOOKUP(Inputs!$K19,Month,index_month)=C$1,Inputs!$N19,""))</f>
        <v/>
      </c>
      <c r="D36" s="2" t="str">
        <f>IF(Inputs!$L19="Ends in", IF(_xlfn.XLOOKUP(Inputs!$M19,Month,index_month)&gt;=D$1, IF(Inputs!$J19="Starts in",IF(_xlfn.XLOOKUP(Inputs!$K19,Month,index_month)&lt;=D$1,Inputs!$N19,""),IF(_xlfn.XLOOKUP(Inputs!$K19,Month,index_month)=D$1,Inputs!$N19,"")),""),IF(_xlfn.XLOOKUP(Inputs!$K19,Month,index_month)=D$1,Inputs!$N19,""))</f>
        <v/>
      </c>
      <c r="E36" s="2">
        <f>IF(Inputs!$L19="Ends in", IF(_xlfn.XLOOKUP(Inputs!$M19,Month,index_month)&gt;=E$1, IF(Inputs!$J19="Starts in",IF(_xlfn.XLOOKUP(Inputs!$K19,Month,index_month)&lt;=E$1,Inputs!$N19,""),IF(_xlfn.XLOOKUP(Inputs!$K19,Month,index_month)=E$1,Inputs!$N19,"")),""),IF(_xlfn.XLOOKUP(Inputs!$K19,Month,index_month)=E$1,Inputs!$N19,""))</f>
        <v>-100</v>
      </c>
      <c r="F36" s="2" t="str">
        <f>IF(Inputs!$L19="Ends in", IF(_xlfn.XLOOKUP(Inputs!$M19,Month,index_month)&gt;=F$1, IF(Inputs!$J19="Starts in",IF(_xlfn.XLOOKUP(Inputs!$K19,Month,index_month)&lt;=F$1,Inputs!$N19,""),IF(_xlfn.XLOOKUP(Inputs!$K19,Month,index_month)=F$1,Inputs!$N19,"")),""),IF(_xlfn.XLOOKUP(Inputs!$K19,Month,index_month)=F$1,Inputs!$N19,""))</f>
        <v/>
      </c>
      <c r="G36" s="2" t="str">
        <f>IF(Inputs!$L19="Ends in", IF(_xlfn.XLOOKUP(Inputs!$M19,Month,index_month)&gt;=G$1, IF(Inputs!$J19="Starts in",IF(_xlfn.XLOOKUP(Inputs!$K19,Month,index_month)&lt;=G$1,Inputs!$N19,""),IF(_xlfn.XLOOKUP(Inputs!$K19,Month,index_month)=G$1,Inputs!$N19,"")),""),IF(_xlfn.XLOOKUP(Inputs!$K19,Month,index_month)=G$1,Inputs!$N19,""))</f>
        <v/>
      </c>
      <c r="H36" s="2" t="str">
        <f>IF(Inputs!$L19="Ends in", IF(_xlfn.XLOOKUP(Inputs!$M19,Month,index_month)&gt;=H$1, IF(Inputs!$J19="Starts in",IF(_xlfn.XLOOKUP(Inputs!$K19,Month,index_month)&lt;=H$1,Inputs!$N19,""),IF(_xlfn.XLOOKUP(Inputs!$K19,Month,index_month)=H$1,Inputs!$N19,"")),""),IF(_xlfn.XLOOKUP(Inputs!$K19,Month,index_month)=H$1,Inputs!$N19,""))</f>
        <v/>
      </c>
      <c r="I36" s="2" t="str">
        <f>IF(Inputs!$L19="Ends in", IF(_xlfn.XLOOKUP(Inputs!$M19,Month,index_month)&gt;=I$1, IF(Inputs!$J19="Starts in",IF(_xlfn.XLOOKUP(Inputs!$K19,Month,index_month)&lt;=I$1,Inputs!$N19,""),IF(_xlfn.XLOOKUP(Inputs!$K19,Month,index_month)=I$1,Inputs!$N19,"")),""),IF(_xlfn.XLOOKUP(Inputs!$K19,Month,index_month)=I$1,Inputs!$N19,""))</f>
        <v/>
      </c>
      <c r="J36" s="2" t="str">
        <f>IF(Inputs!$L19="Ends in", IF(_xlfn.XLOOKUP(Inputs!$M19,Month,index_month)&gt;=J$1, IF(Inputs!$J19="Starts in",IF(_xlfn.XLOOKUP(Inputs!$K19,Month,index_month)&lt;=J$1,Inputs!$N19,""),IF(_xlfn.XLOOKUP(Inputs!$K19,Month,index_month)=J$1,Inputs!$N19,"")),""),IF(_xlfn.XLOOKUP(Inputs!$K19,Month,index_month)=J$1,Inputs!$N19,""))</f>
        <v/>
      </c>
      <c r="K36" s="2" t="str">
        <f>IF(Inputs!$L19="Ends in", IF(_xlfn.XLOOKUP(Inputs!$M19,Month,index_month)&gt;=K$1, IF(Inputs!$J19="Starts in",IF(_xlfn.XLOOKUP(Inputs!$K19,Month,index_month)&lt;=K$1,Inputs!$N19,""),IF(_xlfn.XLOOKUP(Inputs!$K19,Month,index_month)=K$1,Inputs!$N19,"")),""),IF(_xlfn.XLOOKUP(Inputs!$K19,Month,index_month)=K$1,Inputs!$N19,""))</f>
        <v/>
      </c>
      <c r="L36" s="2" t="str">
        <f>IF(Inputs!$L19="Ends in", IF(_xlfn.XLOOKUP(Inputs!$M19,Month,index_month)&gt;=L$1, IF(Inputs!$J19="Starts in",IF(_xlfn.XLOOKUP(Inputs!$K19,Month,index_month)&lt;=L$1,Inputs!$N19,""),IF(_xlfn.XLOOKUP(Inputs!$K19,Month,index_month)=L$1,Inputs!$N19,"")),""),IF(_xlfn.XLOOKUP(Inputs!$K19,Month,index_month)=L$1,Inputs!$N19,""))</f>
        <v/>
      </c>
      <c r="M36" s="2" t="str">
        <f>IF(Inputs!$L19="Ends in", IF(_xlfn.XLOOKUP(Inputs!$M19,Month,index_month)&gt;=M$1, IF(Inputs!$J19="Starts in",IF(_xlfn.XLOOKUP(Inputs!$K19,Month,index_month)&lt;=M$1,Inputs!$N19,""),IF(_xlfn.XLOOKUP(Inputs!$K19,Month,index_month)=M$1,Inputs!$N19,"")),""),IF(_xlfn.XLOOKUP(Inputs!$K19,Month,index_month)=M$1,Inputs!$N19,""))</f>
        <v/>
      </c>
      <c r="N36" s="27" t="str">
        <f>IF(Inputs!$L19="Ends in", IF(_xlfn.XLOOKUP(Inputs!$M19,Month,index_month)&gt;=N$1, IF(Inputs!$J19="Starts in",IF(_xlfn.XLOOKUP(Inputs!$K19,Month,index_month)&lt;=N$1,Inputs!$N19,""),IF(_xlfn.XLOOKUP(Inputs!$K19,Month,index_month)=N$1,Inputs!$N19,"")),""),IF(_xlfn.XLOOKUP(Inputs!$K19,Month,index_month)=N$1,Inputs!$N19,""))</f>
        <v/>
      </c>
    </row>
    <row r="37" spans="2:14" s="2" customFormat="1" x14ac:dyDescent="0.3">
      <c r="B37" s="23" t="str">
        <f>Inputs!I20</f>
        <v>Miscellaneous costs</v>
      </c>
      <c r="C37" s="2" t="str">
        <f>IF(Inputs!$L20="Ends in", IF(_xlfn.XLOOKUP(Inputs!$M20,Month,index_month)&gt;=C$1, IF(Inputs!$J20="Starts in",IF(_xlfn.XLOOKUP(Inputs!$K20,Month,index_month)&lt;=C$1,Inputs!$N20,""),IF(_xlfn.XLOOKUP(Inputs!$K20,Month,index_month)=C$1,Inputs!$N20,"")),""),IF(_xlfn.XLOOKUP(Inputs!$K20,Month,index_month)=C$1,Inputs!$N20,""))</f>
        <v/>
      </c>
      <c r="D37" s="2" t="str">
        <f>IF(Inputs!$L20="Ends in", IF(_xlfn.XLOOKUP(Inputs!$M20,Month,index_month)&gt;=D$1, IF(Inputs!$J20="Starts in",IF(_xlfn.XLOOKUP(Inputs!$K20,Month,index_month)&lt;=D$1,Inputs!$N20,""),IF(_xlfn.XLOOKUP(Inputs!$K20,Month,index_month)=D$1,Inputs!$N20,"")),""),IF(_xlfn.XLOOKUP(Inputs!$K20,Month,index_month)=D$1,Inputs!$N20,""))</f>
        <v/>
      </c>
      <c r="E37" s="2" t="str">
        <f>IF(Inputs!$L20="Ends in", IF(_xlfn.XLOOKUP(Inputs!$M20,Month,index_month)&gt;=E$1, IF(Inputs!$J20="Starts in",IF(_xlfn.XLOOKUP(Inputs!$K20,Month,index_month)&lt;=E$1,Inputs!$N20,""),IF(_xlfn.XLOOKUP(Inputs!$K20,Month,index_month)=E$1,Inputs!$N20,"")),""),IF(_xlfn.XLOOKUP(Inputs!$K20,Month,index_month)=E$1,Inputs!$N20,""))</f>
        <v/>
      </c>
      <c r="F37" s="2" t="str">
        <f>IF(Inputs!$L20="Ends in", IF(_xlfn.XLOOKUP(Inputs!$M20,Month,index_month)&gt;=F$1, IF(Inputs!$J20="Starts in",IF(_xlfn.XLOOKUP(Inputs!$K20,Month,index_month)&lt;=F$1,Inputs!$N20,""),IF(_xlfn.XLOOKUP(Inputs!$K20,Month,index_month)=F$1,Inputs!$N20,"")),""),IF(_xlfn.XLOOKUP(Inputs!$K20,Month,index_month)=F$1,Inputs!$N20,""))</f>
        <v/>
      </c>
      <c r="G37" s="2" t="str">
        <f>IF(Inputs!$L20="Ends in", IF(_xlfn.XLOOKUP(Inputs!$M20,Month,index_month)&gt;=G$1, IF(Inputs!$J20="Starts in",IF(_xlfn.XLOOKUP(Inputs!$K20,Month,index_month)&lt;=G$1,Inputs!$N20,""),IF(_xlfn.XLOOKUP(Inputs!$K20,Month,index_month)=G$1,Inputs!$N20,"")),""),IF(_xlfn.XLOOKUP(Inputs!$K20,Month,index_month)=G$1,Inputs!$N20,""))</f>
        <v/>
      </c>
      <c r="H37" s="2">
        <f>IF(Inputs!$L20="Ends in", IF(_xlfn.XLOOKUP(Inputs!$M20,Month,index_month)&gt;=H$1, IF(Inputs!$J20="Starts in",IF(_xlfn.XLOOKUP(Inputs!$K20,Month,index_month)&lt;=H$1,Inputs!$N20,""),IF(_xlfn.XLOOKUP(Inputs!$K20,Month,index_month)=H$1,Inputs!$N20,"")),""),IF(_xlfn.XLOOKUP(Inputs!$K20,Month,index_month)=H$1,Inputs!$N20,""))</f>
        <v>-100</v>
      </c>
      <c r="I37" s="2" t="str">
        <f>IF(Inputs!$L20="Ends in", IF(_xlfn.XLOOKUP(Inputs!$M20,Month,index_month)&gt;=I$1, IF(Inputs!$J20="Starts in",IF(_xlfn.XLOOKUP(Inputs!$K20,Month,index_month)&lt;=I$1,Inputs!$N20,""),IF(_xlfn.XLOOKUP(Inputs!$K20,Month,index_month)=I$1,Inputs!$N20,"")),""),IF(_xlfn.XLOOKUP(Inputs!$K20,Month,index_month)=I$1,Inputs!$N20,""))</f>
        <v/>
      </c>
      <c r="J37" s="2" t="str">
        <f>IF(Inputs!$L20="Ends in", IF(_xlfn.XLOOKUP(Inputs!$M20,Month,index_month)&gt;=J$1, IF(Inputs!$J20="Starts in",IF(_xlfn.XLOOKUP(Inputs!$K20,Month,index_month)&lt;=J$1,Inputs!$N20,""),IF(_xlfn.XLOOKUP(Inputs!$K20,Month,index_month)=J$1,Inputs!$N20,"")),""),IF(_xlfn.XLOOKUP(Inputs!$K20,Month,index_month)=J$1,Inputs!$N20,""))</f>
        <v/>
      </c>
      <c r="K37" s="2" t="str">
        <f>IF(Inputs!$L20="Ends in", IF(_xlfn.XLOOKUP(Inputs!$M20,Month,index_month)&gt;=K$1, IF(Inputs!$J20="Starts in",IF(_xlfn.XLOOKUP(Inputs!$K20,Month,index_month)&lt;=K$1,Inputs!$N20,""),IF(_xlfn.XLOOKUP(Inputs!$K20,Month,index_month)=K$1,Inputs!$N20,"")),""),IF(_xlfn.XLOOKUP(Inputs!$K20,Month,index_month)=K$1,Inputs!$N20,""))</f>
        <v/>
      </c>
      <c r="L37" s="2" t="str">
        <f>IF(Inputs!$L20="Ends in", IF(_xlfn.XLOOKUP(Inputs!$M20,Month,index_month)&gt;=L$1, IF(Inputs!$J20="Starts in",IF(_xlfn.XLOOKUP(Inputs!$K20,Month,index_month)&lt;=L$1,Inputs!$N20,""),IF(_xlfn.XLOOKUP(Inputs!$K20,Month,index_month)=L$1,Inputs!$N20,"")),""),IF(_xlfn.XLOOKUP(Inputs!$K20,Month,index_month)=L$1,Inputs!$N20,""))</f>
        <v/>
      </c>
      <c r="M37" s="2" t="str">
        <f>IF(Inputs!$L20="Ends in", IF(_xlfn.XLOOKUP(Inputs!$M20,Month,index_month)&gt;=M$1, IF(Inputs!$J20="Starts in",IF(_xlfn.XLOOKUP(Inputs!$K20,Month,index_month)&lt;=M$1,Inputs!$N20,""),IF(_xlfn.XLOOKUP(Inputs!$K20,Month,index_month)=M$1,Inputs!$N20,"")),""),IF(_xlfn.XLOOKUP(Inputs!$K20,Month,index_month)=M$1,Inputs!$N20,""))</f>
        <v/>
      </c>
      <c r="N37" s="27" t="str">
        <f>IF(Inputs!$L20="Ends in", IF(_xlfn.XLOOKUP(Inputs!$M20,Month,index_month)&gt;=N$1, IF(Inputs!$J20="Starts in",IF(_xlfn.XLOOKUP(Inputs!$K20,Month,index_month)&lt;=N$1,Inputs!$N20,""),IF(_xlfn.XLOOKUP(Inputs!$K20,Month,index_month)=N$1,Inputs!$N20,"")),""),IF(_xlfn.XLOOKUP(Inputs!$K20,Month,index_month)=N$1,Inputs!$N20,""))</f>
        <v/>
      </c>
    </row>
    <row r="38" spans="2:14" s="2" customFormat="1" x14ac:dyDescent="0.3">
      <c r="B38" s="23" t="str">
        <f>Inputs!I21</f>
        <v>Miscellaneous costs</v>
      </c>
      <c r="C38" s="2" t="str">
        <f>IF(Inputs!$L21="Ends in", IF(_xlfn.XLOOKUP(Inputs!$M21,Month,index_month)&gt;=C$1, IF(Inputs!$J21="Starts in",IF(_xlfn.XLOOKUP(Inputs!$K21,Month,index_month)&lt;=C$1,Inputs!$N21,""),IF(_xlfn.XLOOKUP(Inputs!$K21,Month,index_month)=C$1,Inputs!$N21,"")),""),IF(_xlfn.XLOOKUP(Inputs!$K21,Month,index_month)=C$1,Inputs!$N21,""))</f>
        <v/>
      </c>
      <c r="D38" s="2" t="str">
        <f>IF(Inputs!$L21="Ends in", IF(_xlfn.XLOOKUP(Inputs!$M21,Month,index_month)&gt;=D$1, IF(Inputs!$J21="Starts in",IF(_xlfn.XLOOKUP(Inputs!$K21,Month,index_month)&lt;=D$1,Inputs!$N21,""),IF(_xlfn.XLOOKUP(Inputs!$K21,Month,index_month)=D$1,Inputs!$N21,"")),""),IF(_xlfn.XLOOKUP(Inputs!$K21,Month,index_month)=D$1,Inputs!$N21,""))</f>
        <v/>
      </c>
      <c r="E38" s="2" t="str">
        <f>IF(Inputs!$L21="Ends in", IF(_xlfn.XLOOKUP(Inputs!$M21,Month,index_month)&gt;=E$1, IF(Inputs!$J21="Starts in",IF(_xlfn.XLOOKUP(Inputs!$K21,Month,index_month)&lt;=E$1,Inputs!$N21,""),IF(_xlfn.XLOOKUP(Inputs!$K21,Month,index_month)=E$1,Inputs!$N21,"")),""),IF(_xlfn.XLOOKUP(Inputs!$K21,Month,index_month)=E$1,Inputs!$N21,""))</f>
        <v/>
      </c>
      <c r="F38" s="2" t="str">
        <f>IF(Inputs!$L21="Ends in", IF(_xlfn.XLOOKUP(Inputs!$M21,Month,index_month)&gt;=F$1, IF(Inputs!$J21="Starts in",IF(_xlfn.XLOOKUP(Inputs!$K21,Month,index_month)&lt;=F$1,Inputs!$N21,""),IF(_xlfn.XLOOKUP(Inputs!$K21,Month,index_month)=F$1,Inputs!$N21,"")),""),IF(_xlfn.XLOOKUP(Inputs!$K21,Month,index_month)=F$1,Inputs!$N21,""))</f>
        <v/>
      </c>
      <c r="G38" s="2" t="str">
        <f>IF(Inputs!$L21="Ends in", IF(_xlfn.XLOOKUP(Inputs!$M21,Month,index_month)&gt;=G$1, IF(Inputs!$J21="Starts in",IF(_xlfn.XLOOKUP(Inputs!$K21,Month,index_month)&lt;=G$1,Inputs!$N21,""),IF(_xlfn.XLOOKUP(Inputs!$K21,Month,index_month)=G$1,Inputs!$N21,"")),""),IF(_xlfn.XLOOKUP(Inputs!$K21,Month,index_month)=G$1,Inputs!$N21,""))</f>
        <v/>
      </c>
      <c r="H38" s="2" t="str">
        <f>IF(Inputs!$L21="Ends in", IF(_xlfn.XLOOKUP(Inputs!$M21,Month,index_month)&gt;=H$1, IF(Inputs!$J21="Starts in",IF(_xlfn.XLOOKUP(Inputs!$K21,Month,index_month)&lt;=H$1,Inputs!$N21,""),IF(_xlfn.XLOOKUP(Inputs!$K21,Month,index_month)=H$1,Inputs!$N21,"")),""),IF(_xlfn.XLOOKUP(Inputs!$K21,Month,index_month)=H$1,Inputs!$N21,""))</f>
        <v/>
      </c>
      <c r="I38" s="2" t="str">
        <f>IF(Inputs!$L21="Ends in", IF(_xlfn.XLOOKUP(Inputs!$M21,Month,index_month)&gt;=I$1, IF(Inputs!$J21="Starts in",IF(_xlfn.XLOOKUP(Inputs!$K21,Month,index_month)&lt;=I$1,Inputs!$N21,""),IF(_xlfn.XLOOKUP(Inputs!$K21,Month,index_month)=I$1,Inputs!$N21,"")),""),IF(_xlfn.XLOOKUP(Inputs!$K21,Month,index_month)=I$1,Inputs!$N21,""))</f>
        <v/>
      </c>
      <c r="J38" s="2" t="str">
        <f>IF(Inputs!$L21="Ends in", IF(_xlfn.XLOOKUP(Inputs!$M21,Month,index_month)&gt;=J$1, IF(Inputs!$J21="Starts in",IF(_xlfn.XLOOKUP(Inputs!$K21,Month,index_month)&lt;=J$1,Inputs!$N21,""),IF(_xlfn.XLOOKUP(Inputs!$K21,Month,index_month)=J$1,Inputs!$N21,"")),""),IF(_xlfn.XLOOKUP(Inputs!$K21,Month,index_month)=J$1,Inputs!$N21,""))</f>
        <v/>
      </c>
      <c r="K38" s="2">
        <f>IF(Inputs!$L21="Ends in", IF(_xlfn.XLOOKUP(Inputs!$M21,Month,index_month)&gt;=K$1, IF(Inputs!$J21="Starts in",IF(_xlfn.XLOOKUP(Inputs!$K21,Month,index_month)&lt;=K$1,Inputs!$N21,""),IF(_xlfn.XLOOKUP(Inputs!$K21,Month,index_month)=K$1,Inputs!$N21,"")),""),IF(_xlfn.XLOOKUP(Inputs!$K21,Month,index_month)=K$1,Inputs!$N21,""))</f>
        <v>-100</v>
      </c>
      <c r="L38" s="2" t="str">
        <f>IF(Inputs!$L21="Ends in", IF(_xlfn.XLOOKUP(Inputs!$M21,Month,index_month)&gt;=L$1, IF(Inputs!$J21="Starts in",IF(_xlfn.XLOOKUP(Inputs!$K21,Month,index_month)&lt;=L$1,Inputs!$N21,""),IF(_xlfn.XLOOKUP(Inputs!$K21,Month,index_month)=L$1,Inputs!$N21,"")),""),IF(_xlfn.XLOOKUP(Inputs!$K21,Month,index_month)=L$1,Inputs!$N21,""))</f>
        <v/>
      </c>
      <c r="M38" s="2" t="str">
        <f>IF(Inputs!$L21="Ends in", IF(_xlfn.XLOOKUP(Inputs!$M21,Month,index_month)&gt;=M$1, IF(Inputs!$J21="Starts in",IF(_xlfn.XLOOKUP(Inputs!$K21,Month,index_month)&lt;=M$1,Inputs!$N21,""),IF(_xlfn.XLOOKUP(Inputs!$K21,Month,index_month)=M$1,Inputs!$N21,"")),""),IF(_xlfn.XLOOKUP(Inputs!$K21,Month,index_month)=M$1,Inputs!$N21,""))</f>
        <v/>
      </c>
      <c r="N38" s="27" t="str">
        <f>IF(Inputs!$L21="Ends in", IF(_xlfn.XLOOKUP(Inputs!$M21,Month,index_month)&gt;=N$1, IF(Inputs!$J21="Starts in",IF(_xlfn.XLOOKUP(Inputs!$K21,Month,index_month)&lt;=N$1,Inputs!$N21,""),IF(_xlfn.XLOOKUP(Inputs!$K21,Month,index_month)=N$1,Inputs!$N21,"")),""),IF(_xlfn.XLOOKUP(Inputs!$K21,Month,index_month)=N$1,Inputs!$N21,""))</f>
        <v/>
      </c>
    </row>
    <row r="39" spans="2:14" s="2" customFormat="1" x14ac:dyDescent="0.3">
      <c r="B39" s="23" t="str">
        <f>Inputs!I22</f>
        <v>Miscellaneous costs</v>
      </c>
      <c r="C39" s="2" t="str">
        <f>IF(Inputs!$L22="Ends in", IF(_xlfn.XLOOKUP(Inputs!$M22,Month,index_month)&gt;=C$1, IF(Inputs!$J22="Starts in",IF(_xlfn.XLOOKUP(Inputs!$K22,Month,index_month)&lt;=C$1,Inputs!$N22,""),IF(_xlfn.XLOOKUP(Inputs!$K22,Month,index_month)=C$1,Inputs!$N22,"")),""),IF(_xlfn.XLOOKUP(Inputs!$K22,Month,index_month)=C$1,Inputs!$N22,""))</f>
        <v/>
      </c>
      <c r="D39" s="2" t="str">
        <f>IF(Inputs!$L22="Ends in", IF(_xlfn.XLOOKUP(Inputs!$M22,Month,index_month)&gt;=D$1, IF(Inputs!$J22="Starts in",IF(_xlfn.XLOOKUP(Inputs!$K22,Month,index_month)&lt;=D$1,Inputs!$N22,""),IF(_xlfn.XLOOKUP(Inputs!$K22,Month,index_month)=D$1,Inputs!$N22,"")),""),IF(_xlfn.XLOOKUP(Inputs!$K22,Month,index_month)=D$1,Inputs!$N22,""))</f>
        <v/>
      </c>
      <c r="E39" s="2" t="str">
        <f>IF(Inputs!$L22="Ends in", IF(_xlfn.XLOOKUP(Inputs!$M22,Month,index_month)&gt;=E$1, IF(Inputs!$J22="Starts in",IF(_xlfn.XLOOKUP(Inputs!$K22,Month,index_month)&lt;=E$1,Inputs!$N22,""),IF(_xlfn.XLOOKUP(Inputs!$K22,Month,index_month)=E$1,Inputs!$N22,"")),""),IF(_xlfn.XLOOKUP(Inputs!$K22,Month,index_month)=E$1,Inputs!$N22,""))</f>
        <v/>
      </c>
      <c r="F39" s="2" t="str">
        <f>IF(Inputs!$L22="Ends in", IF(_xlfn.XLOOKUP(Inputs!$M22,Month,index_month)&gt;=F$1, IF(Inputs!$J22="Starts in",IF(_xlfn.XLOOKUP(Inputs!$K22,Month,index_month)&lt;=F$1,Inputs!$N22,""),IF(_xlfn.XLOOKUP(Inputs!$K22,Month,index_month)=F$1,Inputs!$N22,"")),""),IF(_xlfn.XLOOKUP(Inputs!$K22,Month,index_month)=F$1,Inputs!$N22,""))</f>
        <v/>
      </c>
      <c r="G39" s="2" t="str">
        <f>IF(Inputs!$L22="Ends in", IF(_xlfn.XLOOKUP(Inputs!$M22,Month,index_month)&gt;=G$1, IF(Inputs!$J22="Starts in",IF(_xlfn.XLOOKUP(Inputs!$K22,Month,index_month)&lt;=G$1,Inputs!$N22,""),IF(_xlfn.XLOOKUP(Inputs!$K22,Month,index_month)=G$1,Inputs!$N22,"")),""),IF(_xlfn.XLOOKUP(Inputs!$K22,Month,index_month)=G$1,Inputs!$N22,""))</f>
        <v/>
      </c>
      <c r="H39" s="2" t="str">
        <f>IF(Inputs!$L22="Ends in", IF(_xlfn.XLOOKUP(Inputs!$M22,Month,index_month)&gt;=H$1, IF(Inputs!$J22="Starts in",IF(_xlfn.XLOOKUP(Inputs!$K22,Month,index_month)&lt;=H$1,Inputs!$N22,""),IF(_xlfn.XLOOKUP(Inputs!$K22,Month,index_month)=H$1,Inputs!$N22,"")),""),IF(_xlfn.XLOOKUP(Inputs!$K22,Month,index_month)=H$1,Inputs!$N22,""))</f>
        <v/>
      </c>
      <c r="I39" s="2" t="str">
        <f>IF(Inputs!$L22="Ends in", IF(_xlfn.XLOOKUP(Inputs!$M22,Month,index_month)&gt;=I$1, IF(Inputs!$J22="Starts in",IF(_xlfn.XLOOKUP(Inputs!$K22,Month,index_month)&lt;=I$1,Inputs!$N22,""),IF(_xlfn.XLOOKUP(Inputs!$K22,Month,index_month)=I$1,Inputs!$N22,"")),""),IF(_xlfn.XLOOKUP(Inputs!$K22,Month,index_month)=I$1,Inputs!$N22,""))</f>
        <v/>
      </c>
      <c r="J39" s="2" t="str">
        <f>IF(Inputs!$L22="Ends in", IF(_xlfn.XLOOKUP(Inputs!$M22,Month,index_month)&gt;=J$1, IF(Inputs!$J22="Starts in",IF(_xlfn.XLOOKUP(Inputs!$K22,Month,index_month)&lt;=J$1,Inputs!$N22,""),IF(_xlfn.XLOOKUP(Inputs!$K22,Month,index_month)=J$1,Inputs!$N22,"")),""),IF(_xlfn.XLOOKUP(Inputs!$K22,Month,index_month)=J$1,Inputs!$N22,""))</f>
        <v/>
      </c>
      <c r="K39" s="2" t="str">
        <f>IF(Inputs!$L22="Ends in", IF(_xlfn.XLOOKUP(Inputs!$M22,Month,index_month)&gt;=K$1, IF(Inputs!$J22="Starts in",IF(_xlfn.XLOOKUP(Inputs!$K22,Month,index_month)&lt;=K$1,Inputs!$N22,""),IF(_xlfn.XLOOKUP(Inputs!$K22,Month,index_month)=K$1,Inputs!$N22,"")),""),IF(_xlfn.XLOOKUP(Inputs!$K22,Month,index_month)=K$1,Inputs!$N22,""))</f>
        <v/>
      </c>
      <c r="L39" s="2" t="str">
        <f>IF(Inputs!$L22="Ends in", IF(_xlfn.XLOOKUP(Inputs!$M22,Month,index_month)&gt;=L$1, IF(Inputs!$J22="Starts in",IF(_xlfn.XLOOKUP(Inputs!$K22,Month,index_month)&lt;=L$1,Inputs!$N22,""),IF(_xlfn.XLOOKUP(Inputs!$K22,Month,index_month)=L$1,Inputs!$N22,"")),""),IF(_xlfn.XLOOKUP(Inputs!$K22,Month,index_month)=L$1,Inputs!$N22,""))</f>
        <v/>
      </c>
      <c r="M39" s="2" t="str">
        <f>IF(Inputs!$L22="Ends in", IF(_xlfn.XLOOKUP(Inputs!$M22,Month,index_month)&gt;=M$1, IF(Inputs!$J22="Starts in",IF(_xlfn.XLOOKUP(Inputs!$K22,Month,index_month)&lt;=M$1,Inputs!$N22,""),IF(_xlfn.XLOOKUP(Inputs!$K22,Month,index_month)=M$1,Inputs!$N22,"")),""),IF(_xlfn.XLOOKUP(Inputs!$K22,Month,index_month)=M$1,Inputs!$N22,""))</f>
        <v/>
      </c>
      <c r="N39" s="27">
        <f>IF(Inputs!$L22="Ends in", IF(_xlfn.XLOOKUP(Inputs!$M22,Month,index_month)&gt;=N$1, IF(Inputs!$J22="Starts in",IF(_xlfn.XLOOKUP(Inputs!$K22,Month,index_month)&lt;=N$1,Inputs!$N22,""),IF(_xlfn.XLOOKUP(Inputs!$K22,Month,index_month)=N$1,Inputs!$N22,"")),""),IF(_xlfn.XLOOKUP(Inputs!$K22,Month,index_month)=N$1,Inputs!$N22,""))</f>
        <v>-100</v>
      </c>
    </row>
    <row r="40" spans="2:14" s="2" customFormat="1" x14ac:dyDescent="0.3">
      <c r="B40" s="23" t="str">
        <f>Inputs!I23</f>
        <v>Insurance</v>
      </c>
      <c r="C40" s="2" t="str">
        <f>IF(Inputs!$L23="Ends in", IF(_xlfn.XLOOKUP(Inputs!$M23,Month,index_month)&gt;=C$1, IF(Inputs!$J23="Starts in",IF(_xlfn.XLOOKUP(Inputs!$K23,Month,index_month)&lt;=C$1,Inputs!$N23,""),IF(_xlfn.XLOOKUP(Inputs!$K23,Month,index_month)=C$1,Inputs!$N23,"")),""),IF(_xlfn.XLOOKUP(Inputs!$K23,Month,index_month)=C$1,Inputs!$N23,""))</f>
        <v/>
      </c>
      <c r="D40" s="2" t="str">
        <f>IF(Inputs!$L23="Ends in", IF(_xlfn.XLOOKUP(Inputs!$M23,Month,index_month)&gt;=D$1, IF(Inputs!$J23="Starts in",IF(_xlfn.XLOOKUP(Inputs!$K23,Month,index_month)&lt;=D$1,Inputs!$N23,""),IF(_xlfn.XLOOKUP(Inputs!$K23,Month,index_month)=D$1,Inputs!$N23,"")),""),IF(_xlfn.XLOOKUP(Inputs!$K23,Month,index_month)=D$1,Inputs!$N23,""))</f>
        <v/>
      </c>
      <c r="E40" s="2" t="str">
        <f>IF(Inputs!$L23="Ends in", IF(_xlfn.XLOOKUP(Inputs!$M23,Month,index_month)&gt;=E$1, IF(Inputs!$J23="Starts in",IF(_xlfn.XLOOKUP(Inputs!$K23,Month,index_month)&lt;=E$1,Inputs!$N23,""),IF(_xlfn.XLOOKUP(Inputs!$K23,Month,index_month)=E$1,Inputs!$N23,"")),""),IF(_xlfn.XLOOKUP(Inputs!$K23,Month,index_month)=E$1,Inputs!$N23,""))</f>
        <v/>
      </c>
      <c r="F40" s="2" t="str">
        <f>IF(Inputs!$L23="Ends in", IF(_xlfn.XLOOKUP(Inputs!$M23,Month,index_month)&gt;=F$1, IF(Inputs!$J23="Starts in",IF(_xlfn.XLOOKUP(Inputs!$K23,Month,index_month)&lt;=F$1,Inputs!$N23,""),IF(_xlfn.XLOOKUP(Inputs!$K23,Month,index_month)=F$1,Inputs!$N23,"")),""),IF(_xlfn.XLOOKUP(Inputs!$K23,Month,index_month)=F$1,Inputs!$N23,""))</f>
        <v/>
      </c>
      <c r="G40" s="2" t="str">
        <f>IF(Inputs!$L23="Ends in", IF(_xlfn.XLOOKUP(Inputs!$M23,Month,index_month)&gt;=G$1, IF(Inputs!$J23="Starts in",IF(_xlfn.XLOOKUP(Inputs!$K23,Month,index_month)&lt;=G$1,Inputs!$N23,""),IF(_xlfn.XLOOKUP(Inputs!$K23,Month,index_month)=G$1,Inputs!$N23,"")),""),IF(_xlfn.XLOOKUP(Inputs!$K23,Month,index_month)=G$1,Inputs!$N23,""))</f>
        <v/>
      </c>
      <c r="H40" s="2" t="str">
        <f>IF(Inputs!$L23="Ends in", IF(_xlfn.XLOOKUP(Inputs!$M23,Month,index_month)&gt;=H$1, IF(Inputs!$J23="Starts in",IF(_xlfn.XLOOKUP(Inputs!$K23,Month,index_month)&lt;=H$1,Inputs!$N23,""),IF(_xlfn.XLOOKUP(Inputs!$K23,Month,index_month)=H$1,Inputs!$N23,"")),""),IF(_xlfn.XLOOKUP(Inputs!$K23,Month,index_month)=H$1,Inputs!$N23,""))</f>
        <v/>
      </c>
      <c r="I40" s="2" t="str">
        <f>IF(Inputs!$L23="Ends in", IF(_xlfn.XLOOKUP(Inputs!$M23,Month,index_month)&gt;=I$1, IF(Inputs!$J23="Starts in",IF(_xlfn.XLOOKUP(Inputs!$K23,Month,index_month)&lt;=I$1,Inputs!$N23,""),IF(_xlfn.XLOOKUP(Inputs!$K23,Month,index_month)=I$1,Inputs!$N23,"")),""),IF(_xlfn.XLOOKUP(Inputs!$K23,Month,index_month)=I$1,Inputs!$N23,""))</f>
        <v/>
      </c>
      <c r="J40" s="2" t="str">
        <f>IF(Inputs!$L23="Ends in", IF(_xlfn.XLOOKUP(Inputs!$M23,Month,index_month)&gt;=J$1, IF(Inputs!$J23="Starts in",IF(_xlfn.XLOOKUP(Inputs!$K23,Month,index_month)&lt;=J$1,Inputs!$N23,""),IF(_xlfn.XLOOKUP(Inputs!$K23,Month,index_month)=J$1,Inputs!$N23,"")),""),IF(_xlfn.XLOOKUP(Inputs!$K23,Month,index_month)=J$1,Inputs!$N23,""))</f>
        <v/>
      </c>
      <c r="K40" s="2" t="str">
        <f>IF(Inputs!$L23="Ends in", IF(_xlfn.XLOOKUP(Inputs!$M23,Month,index_month)&gt;=K$1, IF(Inputs!$J23="Starts in",IF(_xlfn.XLOOKUP(Inputs!$K23,Month,index_month)&lt;=K$1,Inputs!$N23,""),IF(_xlfn.XLOOKUP(Inputs!$K23,Month,index_month)=K$1,Inputs!$N23,"")),""),IF(_xlfn.XLOOKUP(Inputs!$K23,Month,index_month)=K$1,Inputs!$N23,""))</f>
        <v/>
      </c>
      <c r="L40" s="2">
        <f>IF(Inputs!$L23="Ends in", IF(_xlfn.XLOOKUP(Inputs!$M23,Month,index_month)&gt;=L$1, IF(Inputs!$J23="Starts in",IF(_xlfn.XLOOKUP(Inputs!$K23,Month,index_month)&lt;=L$1,Inputs!$N23,""),IF(_xlfn.XLOOKUP(Inputs!$K23,Month,index_month)=L$1,Inputs!$N23,"")),""),IF(_xlfn.XLOOKUP(Inputs!$K23,Month,index_month)=L$1,Inputs!$N23,""))</f>
        <v>-200</v>
      </c>
      <c r="M40" s="2" t="str">
        <f>IF(Inputs!$L23="Ends in", IF(_xlfn.XLOOKUP(Inputs!$M23,Month,index_month)&gt;=M$1, IF(Inputs!$J23="Starts in",IF(_xlfn.XLOOKUP(Inputs!$K23,Month,index_month)&lt;=M$1,Inputs!$N23,""),IF(_xlfn.XLOOKUP(Inputs!$K23,Month,index_month)=M$1,Inputs!$N23,"")),""),IF(_xlfn.XLOOKUP(Inputs!$K23,Month,index_month)=M$1,Inputs!$N23,""))</f>
        <v/>
      </c>
      <c r="N40" s="27" t="str">
        <f>IF(Inputs!$L23="Ends in", IF(_xlfn.XLOOKUP(Inputs!$M23,Month,index_month)&gt;=N$1, IF(Inputs!$J23="Starts in",IF(_xlfn.XLOOKUP(Inputs!$K23,Month,index_month)&lt;=N$1,Inputs!$N23,""),IF(_xlfn.XLOOKUP(Inputs!$K23,Month,index_month)=N$1,Inputs!$N23,"")),""),IF(_xlfn.XLOOKUP(Inputs!$K23,Month,index_month)=N$1,Inputs!$N23,""))</f>
        <v/>
      </c>
    </row>
    <row r="41" spans="2:14" s="2" customFormat="1" ht="15" thickBot="1" x14ac:dyDescent="0.35">
      <c r="B41" s="24" t="str">
        <f>Inputs!I24</f>
        <v>Old rents</v>
      </c>
      <c r="C41" s="3" t="str">
        <f>IF(Inputs!$L24="Ends in", IF(_xlfn.XLOOKUP(Inputs!$M24,Month,index_month)&gt;=C$1, IF(Inputs!$J24="Starts in",IF(_xlfn.XLOOKUP(Inputs!$K24,Month,index_month)&lt;=C$1,Inputs!$N24,""),IF(_xlfn.XLOOKUP(Inputs!$K24,Month,index_month)=C$1,Inputs!$N24,"")),""),IF(_xlfn.XLOOKUP(Inputs!$K24,Month,index_month)=C$1,Inputs!$N24,""))</f>
        <v/>
      </c>
      <c r="D41" s="3" t="str">
        <f>IF(Inputs!$L24="Ends in", IF(_xlfn.XLOOKUP(Inputs!$M24,Month,index_month)&gt;=D$1, IF(Inputs!$J24="Starts in",IF(_xlfn.XLOOKUP(Inputs!$K24,Month,index_month)&lt;=D$1,Inputs!$N24,""),IF(_xlfn.XLOOKUP(Inputs!$K24,Month,index_month)=D$1,Inputs!$N24,"")),""),IF(_xlfn.XLOOKUP(Inputs!$K24,Month,index_month)=D$1,Inputs!$N24,""))</f>
        <v/>
      </c>
      <c r="E41" s="3" t="str">
        <f>IF(Inputs!$L24="Ends in", IF(_xlfn.XLOOKUP(Inputs!$M24,Month,index_month)&gt;=E$1, IF(Inputs!$J24="Starts in",IF(_xlfn.XLOOKUP(Inputs!$K24,Month,index_month)&lt;=E$1,Inputs!$N24,""),IF(_xlfn.XLOOKUP(Inputs!$K24,Month,index_month)=E$1,Inputs!$N24,"")),""),IF(_xlfn.XLOOKUP(Inputs!$K24,Month,index_month)=E$1,Inputs!$N24,""))</f>
        <v/>
      </c>
      <c r="F41" s="3" t="str">
        <f>IF(Inputs!$L24="Ends in", IF(_xlfn.XLOOKUP(Inputs!$M24,Month,index_month)&gt;=F$1, IF(Inputs!$J24="Starts in",IF(_xlfn.XLOOKUP(Inputs!$K24,Month,index_month)&lt;=F$1,Inputs!$N24,""),IF(_xlfn.XLOOKUP(Inputs!$K24,Month,index_month)=F$1,Inputs!$N24,"")),""),IF(_xlfn.XLOOKUP(Inputs!$K24,Month,index_month)=F$1,Inputs!$N24,""))</f>
        <v/>
      </c>
      <c r="G41" s="3" t="str">
        <f>IF(Inputs!$L24="Ends in", IF(_xlfn.XLOOKUP(Inputs!$M24,Month,index_month)&gt;=G$1, IF(Inputs!$J24="Starts in",IF(_xlfn.XLOOKUP(Inputs!$K24,Month,index_month)&lt;=G$1,Inputs!$N24,""),IF(_xlfn.XLOOKUP(Inputs!$K24,Month,index_month)=G$1,Inputs!$N24,"")),""),IF(_xlfn.XLOOKUP(Inputs!$K24,Month,index_month)=G$1,Inputs!$N24,""))</f>
        <v/>
      </c>
      <c r="H41" s="3">
        <f>IF(Inputs!$L24="Ends in", IF(_xlfn.XLOOKUP(Inputs!$M24,Month,index_month)&gt;=H$1, IF(Inputs!$J24="Starts in",IF(_xlfn.XLOOKUP(Inputs!$K24,Month,index_month)&lt;=H$1,Inputs!$N24,""),IF(_xlfn.XLOOKUP(Inputs!$K24,Month,index_month)=H$1,Inputs!$N24,"")),""),IF(_xlfn.XLOOKUP(Inputs!$K24,Month,index_month)=H$1,Inputs!$N24,""))</f>
        <v>270</v>
      </c>
      <c r="I41" s="3" t="str">
        <f>IF(Inputs!$L24="Ends in", IF(_xlfn.XLOOKUP(Inputs!$M24,Month,index_month)&gt;=I$1, IF(Inputs!$J24="Starts in",IF(_xlfn.XLOOKUP(Inputs!$K24,Month,index_month)&lt;=I$1,Inputs!$N24,""),IF(_xlfn.XLOOKUP(Inputs!$K24,Month,index_month)=I$1,Inputs!$N24,"")),""),IF(_xlfn.XLOOKUP(Inputs!$K24,Month,index_month)=I$1,Inputs!$N24,""))</f>
        <v/>
      </c>
      <c r="J41" s="3" t="str">
        <f>IF(Inputs!$L24="Ends in", IF(_xlfn.XLOOKUP(Inputs!$M24,Month,index_month)&gt;=J$1, IF(Inputs!$J24="Starts in",IF(_xlfn.XLOOKUP(Inputs!$K24,Month,index_month)&lt;=J$1,Inputs!$N24,""),IF(_xlfn.XLOOKUP(Inputs!$K24,Month,index_month)=J$1,Inputs!$N24,"")),""),IF(_xlfn.XLOOKUP(Inputs!$K24,Month,index_month)=J$1,Inputs!$N24,""))</f>
        <v/>
      </c>
      <c r="K41" s="3" t="str">
        <f>IF(Inputs!$L24="Ends in", IF(_xlfn.XLOOKUP(Inputs!$M24,Month,index_month)&gt;=K$1, IF(Inputs!$J24="Starts in",IF(_xlfn.XLOOKUP(Inputs!$K24,Month,index_month)&lt;=K$1,Inputs!$N24,""),IF(_xlfn.XLOOKUP(Inputs!$K24,Month,index_month)=K$1,Inputs!$N24,"")),""),IF(_xlfn.XLOOKUP(Inputs!$K24,Month,index_month)=K$1,Inputs!$N24,""))</f>
        <v/>
      </c>
      <c r="L41" s="3" t="str">
        <f>IF(Inputs!$L24="Ends in", IF(_xlfn.XLOOKUP(Inputs!$M24,Month,index_month)&gt;=L$1, IF(Inputs!$J24="Starts in",IF(_xlfn.XLOOKUP(Inputs!$K24,Month,index_month)&lt;=L$1,Inputs!$N24,""),IF(_xlfn.XLOOKUP(Inputs!$K24,Month,index_month)=L$1,Inputs!$N24,"")),""),IF(_xlfn.XLOOKUP(Inputs!$K24,Month,index_month)=L$1,Inputs!$N24,""))</f>
        <v/>
      </c>
      <c r="M41" s="3" t="str">
        <f>IF(Inputs!$L24="Ends in", IF(_xlfn.XLOOKUP(Inputs!$M24,Month,index_month)&gt;=M$1, IF(Inputs!$J24="Starts in",IF(_xlfn.XLOOKUP(Inputs!$K24,Month,index_month)&lt;=M$1,Inputs!$N24,""),IF(_xlfn.XLOOKUP(Inputs!$K24,Month,index_month)=M$1,Inputs!$N24,"")),""),IF(_xlfn.XLOOKUP(Inputs!$K24,Month,index_month)=M$1,Inputs!$N24,""))</f>
        <v/>
      </c>
      <c r="N41" s="28" t="str">
        <f>IF(Inputs!$L24="Ends in", IF(_xlfn.XLOOKUP(Inputs!$M24,Month,index_month)&gt;=N$1, IF(Inputs!$J24="Starts in",IF(_xlfn.XLOOKUP(Inputs!$K24,Month,index_month)&lt;=N$1,Inputs!$N24,""),IF(_xlfn.XLOOKUP(Inputs!$K24,Month,index_month)=N$1,Inputs!$N24,"")),""),IF(_xlfn.XLOOKUP(Inputs!$K24,Month,index_month)=N$1,Inputs!$N24,""))</f>
        <v/>
      </c>
    </row>
    <row r="42" spans="2:14" s="2" customFormat="1" ht="15" thickTop="1" x14ac:dyDescent="0.3">
      <c r="B42" s="2" t="s">
        <v>36</v>
      </c>
      <c r="C42" s="2">
        <f t="shared" ref="C42:N42" si="3">SUM(C32:C41)</f>
        <v>-65</v>
      </c>
      <c r="D42" s="2">
        <f t="shared" si="3"/>
        <v>-65</v>
      </c>
      <c r="E42" s="2">
        <f t="shared" si="3"/>
        <v>-465</v>
      </c>
      <c r="F42" s="2">
        <f t="shared" si="3"/>
        <v>-65</v>
      </c>
      <c r="G42" s="2">
        <f t="shared" si="3"/>
        <v>-65</v>
      </c>
      <c r="H42" s="2">
        <f t="shared" si="3"/>
        <v>105</v>
      </c>
      <c r="I42" s="2">
        <f t="shared" si="3"/>
        <v>-65</v>
      </c>
      <c r="J42" s="2">
        <f t="shared" si="3"/>
        <v>-65</v>
      </c>
      <c r="K42" s="2">
        <f t="shared" si="3"/>
        <v>-165</v>
      </c>
      <c r="L42" s="2">
        <f t="shared" si="3"/>
        <v>-705</v>
      </c>
      <c r="M42" s="2">
        <f t="shared" si="3"/>
        <v>-65</v>
      </c>
      <c r="N42" s="2">
        <f t="shared" si="3"/>
        <v>-165</v>
      </c>
    </row>
    <row r="43" spans="2:14" s="2" customFormat="1" x14ac:dyDescent="0.3"/>
    <row r="45" spans="2:14" x14ac:dyDescent="0.3">
      <c r="B45" s="1" t="s">
        <v>8</v>
      </c>
    </row>
    <row r="46" spans="2:14" x14ac:dyDescent="0.3">
      <c r="B46" s="23" t="s">
        <v>43</v>
      </c>
      <c r="C46" s="51">
        <f>SUMIF($B$3:$B$42,"CF",C3:C42)</f>
        <v>-1252</v>
      </c>
      <c r="D46" s="21">
        <f t="shared" ref="D46:N46" si="4">SUMIF($B$3:$B$42,"CF",D3:D42)</f>
        <v>-1252</v>
      </c>
      <c r="E46" s="21">
        <f t="shared" si="4"/>
        <v>-1952</v>
      </c>
      <c r="F46" s="21">
        <f t="shared" si="4"/>
        <v>-852</v>
      </c>
      <c r="G46" s="21">
        <f t="shared" si="4"/>
        <v>748</v>
      </c>
      <c r="H46" s="21">
        <f t="shared" si="4"/>
        <v>918</v>
      </c>
      <c r="I46" s="21">
        <f t="shared" si="4"/>
        <v>748</v>
      </c>
      <c r="J46" s="21">
        <f t="shared" si="4"/>
        <v>748</v>
      </c>
      <c r="K46" s="21">
        <f t="shared" si="4"/>
        <v>648</v>
      </c>
      <c r="L46" s="21">
        <f t="shared" si="4"/>
        <v>108</v>
      </c>
      <c r="M46" s="21">
        <f t="shared" si="4"/>
        <v>748</v>
      </c>
      <c r="N46" s="22">
        <f t="shared" si="4"/>
        <v>648</v>
      </c>
    </row>
    <row r="47" spans="2:14" x14ac:dyDescent="0.3">
      <c r="B47" s="49" t="s">
        <v>9</v>
      </c>
      <c r="C47" s="6">
        <f>account</f>
        <v>2300</v>
      </c>
    </row>
    <row r="48" spans="2:14" x14ac:dyDescent="0.3">
      <c r="B48" s="23" t="s">
        <v>11</v>
      </c>
      <c r="C48" s="52">
        <f>$C$47+SUM($C$46:C46)</f>
        <v>1048</v>
      </c>
      <c r="D48" s="21">
        <f>$C$47+SUM($C$46:D46)</f>
        <v>-204</v>
      </c>
      <c r="E48" s="21">
        <f>$C$47+SUM($C$46:E46)</f>
        <v>-2156</v>
      </c>
      <c r="F48" s="21">
        <f>$C$47+SUM($C$46:F46)</f>
        <v>-3008</v>
      </c>
      <c r="G48" s="21">
        <f>$C$47+SUM($C$46:G46)</f>
        <v>-2260</v>
      </c>
      <c r="H48" s="21">
        <f>$C$47+SUM($C$46:H46)</f>
        <v>-1342</v>
      </c>
      <c r="I48" s="21">
        <f>$C$47+SUM($C$46:I46)</f>
        <v>-594</v>
      </c>
      <c r="J48" s="21">
        <f>$C$47+SUM($C$46:J46)</f>
        <v>154</v>
      </c>
      <c r="K48" s="21">
        <f>$C$47+SUM($C$46:K46)</f>
        <v>802</v>
      </c>
      <c r="L48" s="21">
        <f>$C$47+SUM($C$46:L46)</f>
        <v>910</v>
      </c>
      <c r="M48" s="21">
        <f>$C$47+SUM($C$46:M46)</f>
        <v>1658</v>
      </c>
      <c r="N48" s="22">
        <f>$C$47+SUM($C$46:N46)</f>
        <v>2306</v>
      </c>
    </row>
    <row r="49" spans="2:14" x14ac:dyDescent="0.3">
      <c r="B49" s="23" t="s">
        <v>45</v>
      </c>
      <c r="C49" s="21" t="str">
        <f>IF(C$47+C$46&lt;0,ABS(ROUNDUP((C$47+C$46)/insert,0))*insert,"")</f>
        <v/>
      </c>
      <c r="D49" s="21">
        <f>IF(C$50+D$46&lt;0,ABS(ROUNDUP((C$50+D$46)/insert,0))*insert,"")</f>
        <v>1000</v>
      </c>
      <c r="E49" s="21">
        <f t="shared" ref="E49:N49" si="5">IF(D$50+E$46&lt;0,ABS(ROUNDUP((D$50+E$46)/insert,0))*insert,"")</f>
        <v>2000</v>
      </c>
      <c r="F49" s="21">
        <f t="shared" si="5"/>
        <v>1000</v>
      </c>
      <c r="G49" s="21" t="str">
        <f t="shared" si="5"/>
        <v/>
      </c>
      <c r="H49" s="21" t="str">
        <f t="shared" si="5"/>
        <v/>
      </c>
      <c r="I49" s="21" t="str">
        <f t="shared" si="5"/>
        <v/>
      </c>
      <c r="J49" s="21" t="str">
        <f t="shared" si="5"/>
        <v/>
      </c>
      <c r="K49" s="21" t="str">
        <f t="shared" si="5"/>
        <v/>
      </c>
      <c r="L49" s="21" t="str">
        <f t="shared" si="5"/>
        <v/>
      </c>
      <c r="M49" s="21" t="str">
        <f t="shared" si="5"/>
        <v/>
      </c>
      <c r="N49" s="22" t="str">
        <f t="shared" si="5"/>
        <v/>
      </c>
    </row>
    <row r="50" spans="2:14" x14ac:dyDescent="0.3">
      <c r="B50" s="23" t="s">
        <v>46</v>
      </c>
      <c r="C50" s="21">
        <f>C48+SUM($C$49:C49)</f>
        <v>1048</v>
      </c>
      <c r="D50" s="21">
        <f>D48+SUM($C$49:D49)</f>
        <v>796</v>
      </c>
      <c r="E50" s="21">
        <f>E48+SUM($C$49:E49)</f>
        <v>844</v>
      </c>
      <c r="F50" s="21">
        <f>F48+SUM($C$49:F49)</f>
        <v>992</v>
      </c>
      <c r="G50" s="21">
        <f>G48+SUM($C$49:G49)</f>
        <v>1740</v>
      </c>
      <c r="H50" s="21">
        <f>H48+SUM($C$49:H49)</f>
        <v>2658</v>
      </c>
      <c r="I50" s="21">
        <f>I48+SUM($C$49:I49)</f>
        <v>3406</v>
      </c>
      <c r="J50" s="21">
        <f>J48+SUM($C$49:J49)</f>
        <v>4154</v>
      </c>
      <c r="K50" s="21">
        <f>K48+SUM($C$49:K49)</f>
        <v>4802</v>
      </c>
      <c r="L50" s="21">
        <f>L48+SUM($C$49:L49)</f>
        <v>4910</v>
      </c>
      <c r="M50" s="21">
        <f>M48+SUM($C$49:M49)</f>
        <v>5658</v>
      </c>
      <c r="N50" s="22">
        <f>N48+SUM($C$49:N49)</f>
        <v>6306</v>
      </c>
    </row>
    <row r="51" spans="2:14" s="2" customFormat="1" x14ac:dyDescent="0.3"/>
    <row r="52" spans="2:14" s="2" customFormat="1" x14ac:dyDescent="0.3"/>
    <row r="54" spans="2:14" x14ac:dyDescent="0.3">
      <c r="B54" s="1" t="s">
        <v>47</v>
      </c>
      <c r="C54" s="2"/>
    </row>
    <row r="55" spans="2:14" s="2" customFormat="1" x14ac:dyDescent="0.3">
      <c r="B55" s="23" t="s">
        <v>48</v>
      </c>
      <c r="C55" s="13">
        <f>p_incr</f>
        <v>2.41</v>
      </c>
      <c r="D55" s="13">
        <f>C55</f>
        <v>2.41</v>
      </c>
      <c r="E55" s="13">
        <f t="shared" ref="E55:N55" si="6">D55</f>
        <v>2.41</v>
      </c>
      <c r="F55" s="13">
        <f t="shared" si="6"/>
        <v>2.41</v>
      </c>
      <c r="G55" s="13">
        <f t="shared" si="6"/>
        <v>2.41</v>
      </c>
      <c r="H55" s="13">
        <f t="shared" si="6"/>
        <v>2.41</v>
      </c>
      <c r="I55" s="13">
        <f t="shared" si="6"/>
        <v>2.41</v>
      </c>
      <c r="J55" s="13">
        <f t="shared" si="6"/>
        <v>2.41</v>
      </c>
      <c r="K55" s="13">
        <f t="shared" si="6"/>
        <v>2.41</v>
      </c>
      <c r="L55" s="13">
        <f t="shared" si="6"/>
        <v>2.41</v>
      </c>
      <c r="M55" s="13">
        <f t="shared" si="6"/>
        <v>2.41</v>
      </c>
      <c r="N55" s="14">
        <f t="shared" si="6"/>
        <v>2.41</v>
      </c>
    </row>
    <row r="56" spans="2:14" x14ac:dyDescent="0.3">
      <c r="B56" s="23" t="s">
        <v>13</v>
      </c>
      <c r="C56" s="15">
        <f>IF(C4="",0,C4)*(1+$C$55)</f>
        <v>1176.45</v>
      </c>
      <c r="D56" s="15">
        <f t="shared" ref="C56:N56" si="7">IF(D4="",0,D4)*(1+$C$55)</f>
        <v>1176.45</v>
      </c>
      <c r="E56" s="15">
        <f t="shared" si="7"/>
        <v>1176.45</v>
      </c>
      <c r="F56" s="15">
        <f t="shared" si="7"/>
        <v>1176.45</v>
      </c>
      <c r="G56" s="15">
        <f t="shared" si="7"/>
        <v>1176.45</v>
      </c>
      <c r="H56" s="15">
        <f t="shared" si="7"/>
        <v>1176.45</v>
      </c>
      <c r="I56" s="15">
        <f t="shared" si="7"/>
        <v>1176.45</v>
      </c>
      <c r="J56" s="15">
        <f t="shared" si="7"/>
        <v>1176.45</v>
      </c>
      <c r="K56" s="15">
        <f t="shared" si="7"/>
        <v>1176.45</v>
      </c>
      <c r="L56" s="15">
        <f t="shared" si="7"/>
        <v>1176.45</v>
      </c>
      <c r="M56" s="15">
        <f t="shared" si="7"/>
        <v>1176.45</v>
      </c>
      <c r="N56" s="16">
        <f t="shared" si="7"/>
        <v>1176.45</v>
      </c>
    </row>
    <row r="57" spans="2:14" x14ac:dyDescent="0.3">
      <c r="B57" s="23" t="s">
        <v>14</v>
      </c>
      <c r="C57" s="15">
        <f>IF(C14="",0,C14)*(1+$C$55)</f>
        <v>0</v>
      </c>
      <c r="D57" s="15">
        <f t="shared" ref="D57:N57" si="8">IF(D14="",0,D14)*(1+$C$55)</f>
        <v>0</v>
      </c>
      <c r="E57" s="15">
        <f t="shared" si="8"/>
        <v>1500.4</v>
      </c>
      <c r="F57" s="15">
        <f t="shared" si="8"/>
        <v>1500.4</v>
      </c>
      <c r="G57" s="15">
        <f t="shared" si="8"/>
        <v>1500.4</v>
      </c>
      <c r="H57" s="15">
        <f t="shared" si="8"/>
        <v>1500.4</v>
      </c>
      <c r="I57" s="15">
        <f t="shared" si="8"/>
        <v>1500.4</v>
      </c>
      <c r="J57" s="15">
        <f t="shared" si="8"/>
        <v>1500.4</v>
      </c>
      <c r="K57" s="15">
        <f t="shared" si="8"/>
        <v>1500.4</v>
      </c>
      <c r="L57" s="15">
        <f t="shared" si="8"/>
        <v>1500.4</v>
      </c>
      <c r="M57" s="15">
        <f t="shared" si="8"/>
        <v>1500.4</v>
      </c>
      <c r="N57" s="16">
        <f t="shared" si="8"/>
        <v>1500.4</v>
      </c>
    </row>
    <row r="58" spans="2:14" x14ac:dyDescent="0.3">
      <c r="B58" s="23" t="s">
        <v>15</v>
      </c>
      <c r="C58" s="17">
        <f>IF(C23="",0,C23)*(1+$C$55)</f>
        <v>0</v>
      </c>
      <c r="D58" s="17">
        <f t="shared" ref="D58:N58" si="9">IF(D23="",0,D23)*(1+$C$55)</f>
        <v>0</v>
      </c>
      <c r="E58" s="17">
        <f t="shared" si="9"/>
        <v>0</v>
      </c>
      <c r="F58" s="17">
        <f t="shared" si="9"/>
        <v>0</v>
      </c>
      <c r="G58" s="17">
        <f t="shared" si="9"/>
        <v>2046</v>
      </c>
      <c r="H58" s="17">
        <f t="shared" si="9"/>
        <v>2046</v>
      </c>
      <c r="I58" s="17">
        <f t="shared" si="9"/>
        <v>2046</v>
      </c>
      <c r="J58" s="17">
        <f t="shared" si="9"/>
        <v>2046</v>
      </c>
      <c r="K58" s="17">
        <f t="shared" si="9"/>
        <v>2046</v>
      </c>
      <c r="L58" s="17">
        <f t="shared" si="9"/>
        <v>2046</v>
      </c>
      <c r="M58" s="17">
        <f t="shared" si="9"/>
        <v>2046</v>
      </c>
      <c r="N58" s="18">
        <f t="shared" si="9"/>
        <v>2046</v>
      </c>
    </row>
    <row r="59" spans="2:14" x14ac:dyDescent="0.3">
      <c r="C59" s="4"/>
      <c r="D59" s="4"/>
      <c r="E59" s="4"/>
      <c r="F59" s="4"/>
      <c r="G59" s="4"/>
      <c r="H59" s="4"/>
      <c r="I59" s="4"/>
      <c r="J59" s="4"/>
      <c r="K59" s="4"/>
      <c r="L59" s="4"/>
      <c r="M59" s="4"/>
      <c r="N59" s="4"/>
    </row>
    <row r="60" spans="2:14" x14ac:dyDescent="0.3">
      <c r="B60" s="23" t="s">
        <v>43</v>
      </c>
      <c r="C60" s="50">
        <f>SUM(C5:C9)+SUM(C15:C18)+SUM(C24:C28)+SUM(C32:C41)+SUM(C56:C58)</f>
        <v>-420.54999999999995</v>
      </c>
      <c r="D60" s="11">
        <f t="shared" ref="D60:N60" si="10">SUM(D5:D9)+SUM(D15:D18)+SUM(D24:D28)+SUM(D32:D41)+SUM(D56:D58)</f>
        <v>-420.54999999999995</v>
      </c>
      <c r="E60" s="11">
        <f t="shared" si="10"/>
        <v>-60.149999999999636</v>
      </c>
      <c r="F60" s="11">
        <f t="shared" si="10"/>
        <v>1039.8500000000004</v>
      </c>
      <c r="G60" s="11">
        <f t="shared" si="10"/>
        <v>4085.8500000000004</v>
      </c>
      <c r="H60" s="11">
        <f t="shared" si="10"/>
        <v>4255.8500000000004</v>
      </c>
      <c r="I60" s="11">
        <f t="shared" si="10"/>
        <v>4085.8500000000004</v>
      </c>
      <c r="J60" s="11">
        <f t="shared" si="10"/>
        <v>4085.8500000000004</v>
      </c>
      <c r="K60" s="11">
        <f t="shared" si="10"/>
        <v>3985.8500000000004</v>
      </c>
      <c r="L60" s="11">
        <f t="shared" si="10"/>
        <v>3445.8500000000004</v>
      </c>
      <c r="M60" s="11">
        <f t="shared" si="10"/>
        <v>4085.8500000000004</v>
      </c>
      <c r="N60" s="12">
        <f t="shared" si="10"/>
        <v>3985.8500000000004</v>
      </c>
    </row>
    <row r="61" spans="2:14" x14ac:dyDescent="0.3">
      <c r="B61" s="49" t="s">
        <v>9</v>
      </c>
      <c r="C61" s="53">
        <f>account</f>
        <v>2300</v>
      </c>
      <c r="D61" s="4"/>
      <c r="E61" s="4"/>
      <c r="F61" s="4"/>
      <c r="G61" s="4"/>
      <c r="H61" s="4"/>
      <c r="I61" s="4"/>
      <c r="J61" s="4"/>
      <c r="K61" s="4"/>
      <c r="L61" s="4"/>
      <c r="M61" s="4"/>
      <c r="N61" s="4"/>
    </row>
    <row r="62" spans="2:14" x14ac:dyDescent="0.3">
      <c r="B62" s="23" t="s">
        <v>11</v>
      </c>
      <c r="C62" s="17">
        <f>$C$61+SUM($C$60:C60)</f>
        <v>1879.45</v>
      </c>
      <c r="D62" s="19">
        <f>$C$61+SUM($C$60:D60)</f>
        <v>1458.9</v>
      </c>
      <c r="E62" s="19">
        <f>$C$61+SUM($C$60:E60)</f>
        <v>1398.7500000000005</v>
      </c>
      <c r="F62" s="19">
        <f>$C$61+SUM($C$60:F60)</f>
        <v>2438.6000000000008</v>
      </c>
      <c r="G62" s="19">
        <f>$C$61+SUM($C$60:G60)</f>
        <v>6524.4500000000007</v>
      </c>
      <c r="H62" s="19">
        <f>$C$61+SUM($C$60:H60)</f>
        <v>10780.300000000001</v>
      </c>
      <c r="I62" s="19">
        <f>$C$61+SUM($C$60:I60)</f>
        <v>14866.150000000001</v>
      </c>
      <c r="J62" s="19">
        <f>$C$61+SUM($C$60:J60)</f>
        <v>18952</v>
      </c>
      <c r="K62" s="19">
        <f>$C$61+SUM($C$60:K60)</f>
        <v>22937.85</v>
      </c>
      <c r="L62" s="19">
        <f>$C$61+SUM($C$60:L60)</f>
        <v>26383.699999999997</v>
      </c>
      <c r="M62" s="19">
        <f>$C$61+SUM($C$60:M60)</f>
        <v>30469.549999999996</v>
      </c>
      <c r="N62" s="20">
        <f>$C$61+SUM($C$60:N60)</f>
        <v>34455.399999999994</v>
      </c>
    </row>
    <row r="63" spans="2:14" x14ac:dyDescent="0.3">
      <c r="B63" s="23" t="s">
        <v>49</v>
      </c>
      <c r="C63" s="21" t="str">
        <f>IF(C$61+C$60&lt;0,ABS(ROUNDUP((C$61+C$60)/insert,0))*insert,"")</f>
        <v/>
      </c>
      <c r="D63" s="21" t="str">
        <f>IF(C$64+D$60&lt;0,ABS(ROUNDUP((C$64+D$60)/insert,0))*insert,"")</f>
        <v/>
      </c>
      <c r="E63" s="21" t="str">
        <f t="shared" ref="E63:M63" si="11">IF(D$64+E$60&lt;0,ABS(ROUNDUP((D$64+E$60)/insert,0))*insert,"")</f>
        <v/>
      </c>
      <c r="F63" s="21" t="str">
        <f t="shared" si="11"/>
        <v/>
      </c>
      <c r="G63" s="21" t="str">
        <f t="shared" si="11"/>
        <v/>
      </c>
      <c r="H63" s="21" t="str">
        <f t="shared" si="11"/>
        <v/>
      </c>
      <c r="I63" s="21" t="str">
        <f t="shared" si="11"/>
        <v/>
      </c>
      <c r="J63" s="21" t="str">
        <f t="shared" si="11"/>
        <v/>
      </c>
      <c r="K63" s="21" t="str">
        <f t="shared" si="11"/>
        <v/>
      </c>
      <c r="L63" s="21" t="str">
        <f t="shared" si="11"/>
        <v/>
      </c>
      <c r="M63" s="21" t="str">
        <f t="shared" si="11"/>
        <v/>
      </c>
      <c r="N63" s="22" t="str">
        <f>IF(M$64+N$60&lt;0,ABS(ROUNDUP((M$64+N$60)/insert,0))*insert,"")</f>
        <v/>
      </c>
    </row>
    <row r="64" spans="2:14" x14ac:dyDescent="0.3">
      <c r="B64" s="23" t="s">
        <v>46</v>
      </c>
      <c r="C64" s="19">
        <f>C62+SUM($C$63:C63)</f>
        <v>1879.45</v>
      </c>
      <c r="D64" s="19">
        <f>D62+SUM($C$63:D63)</f>
        <v>1458.9</v>
      </c>
      <c r="E64" s="19">
        <f>E62+SUM($C$63:E63)</f>
        <v>1398.7500000000005</v>
      </c>
      <c r="F64" s="19">
        <f>F62+SUM($C$63:F63)</f>
        <v>2438.6000000000008</v>
      </c>
      <c r="G64" s="19">
        <f>G62+SUM($C$63:G63)</f>
        <v>6524.4500000000007</v>
      </c>
      <c r="H64" s="19">
        <f>H62+SUM($C$63:H63)</f>
        <v>10780.300000000001</v>
      </c>
      <c r="I64" s="19">
        <f>I62+SUM($C$63:I63)</f>
        <v>14866.150000000001</v>
      </c>
      <c r="J64" s="19">
        <f>J62+SUM($C$63:J63)</f>
        <v>18952</v>
      </c>
      <c r="K64" s="19">
        <f>K62+SUM($C$63:K63)</f>
        <v>22937.85</v>
      </c>
      <c r="L64" s="19">
        <f>L62+SUM($C$63:L63)</f>
        <v>26383.699999999997</v>
      </c>
      <c r="M64" s="19">
        <f>M62+SUM($C$63:M63)</f>
        <v>30469.549999999996</v>
      </c>
      <c r="N64" s="20">
        <f>N62+SUM($C$63:N63)</f>
        <v>34455.399999999994</v>
      </c>
    </row>
    <row r="69" spans="2:14" x14ac:dyDescent="0.3">
      <c r="C69" s="2"/>
      <c r="D69" s="2"/>
      <c r="E69" s="2"/>
      <c r="F69" s="2"/>
      <c r="G69" s="2"/>
      <c r="H69" s="2"/>
      <c r="I69" s="2"/>
      <c r="J69" s="2"/>
      <c r="K69" s="2"/>
      <c r="L69" s="2"/>
      <c r="M69" s="2"/>
      <c r="N69" s="2"/>
    </row>
    <row r="70" spans="2:14" x14ac:dyDescent="0.3">
      <c r="B70" s="2"/>
      <c r="C70" s="2"/>
      <c r="D70" s="2"/>
      <c r="E70" s="2"/>
      <c r="F70" s="2"/>
      <c r="G70" s="2"/>
      <c r="H70" s="2"/>
      <c r="I70" s="2"/>
      <c r="J70" s="2"/>
      <c r="K70" s="2"/>
      <c r="L70" s="2"/>
      <c r="M70" s="2"/>
      <c r="N70" s="2"/>
    </row>
    <row r="71" spans="2:14" x14ac:dyDescent="0.3">
      <c r="C71" s="2"/>
    </row>
  </sheetData>
  <conditionalFormatting sqref="C60:N60 C62:N62 C64:N64 C46:N46 C48:N48 C50:N50 C42:N42 C29:N29 C19:N19 C10:N10">
    <cfRule type="cellIs" dxfId="1" priority="1" operator="greaterThan">
      <formula>0</formula>
    </cfRule>
    <cfRule type="cellIs" dxfId="0" priority="2" operator="lessThan">
      <formula>0</formula>
    </cfRule>
  </conditionalFormatting>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3FF0E4-8DCC-44DD-A228-F1FCEB7ACE92}">
  <sheetPr codeName="Sheet3"/>
  <dimension ref="A1:L220"/>
  <sheetViews>
    <sheetView showGridLines="0" zoomScaleNormal="100" workbookViewId="0">
      <selection activeCell="C3" sqref="C3"/>
    </sheetView>
  </sheetViews>
  <sheetFormatPr defaultColWidth="0" defaultRowHeight="14.4" zeroHeight="1" x14ac:dyDescent="0.3"/>
  <cols>
    <col min="1" max="1" width="8.88671875" style="2" customWidth="1"/>
    <col min="2" max="2" width="19.6640625" customWidth="1"/>
    <col min="3" max="5" width="12.88671875" customWidth="1"/>
    <col min="6" max="6" width="18.44140625" bestFit="1" customWidth="1"/>
    <col min="7" max="7" width="9.109375" style="2" customWidth="1"/>
    <col min="8" max="8" width="27.44140625" bestFit="1" customWidth="1"/>
    <col min="9" max="10" width="9.109375" customWidth="1"/>
    <col min="11" max="12" width="0" hidden="1" customWidth="1"/>
    <col min="13" max="16384" width="9.109375" hidden="1"/>
  </cols>
  <sheetData>
    <row r="1" spans="1:12" x14ac:dyDescent="0.3">
      <c r="A1" s="1" t="s">
        <v>55</v>
      </c>
      <c r="B1" s="1" t="s">
        <v>51</v>
      </c>
      <c r="C1" s="1" t="s">
        <v>52</v>
      </c>
      <c r="D1" s="1" t="s">
        <v>53</v>
      </c>
      <c r="E1" s="1" t="s">
        <v>54</v>
      </c>
      <c r="F1" s="1" t="s">
        <v>65</v>
      </c>
      <c r="H1" s="6" t="s">
        <v>56</v>
      </c>
      <c r="I1" s="7">
        <f>SUM('Model and budget'!C63:N63)</f>
        <v>0</v>
      </c>
    </row>
    <row r="2" spans="1:12" x14ac:dyDescent="0.3">
      <c r="A2" s="2">
        <v>1</v>
      </c>
      <c r="B2" s="8">
        <v>2.41</v>
      </c>
      <c r="C2" s="10">
        <v>345</v>
      </c>
      <c r="D2" s="10">
        <v>440</v>
      </c>
      <c r="E2" s="10">
        <v>600</v>
      </c>
      <c r="F2" s="8">
        <v>0</v>
      </c>
      <c r="H2" s="6" t="s">
        <v>57</v>
      </c>
      <c r="I2" s="6">
        <v>0</v>
      </c>
    </row>
    <row r="3" spans="1:12" x14ac:dyDescent="0.3">
      <c r="A3" s="2">
        <f>IF(B3&lt;&gt;0,A2+1,"")</f>
        <v>2</v>
      </c>
      <c r="B3" s="8">
        <v>1.7800000000000002</v>
      </c>
      <c r="C3" s="10">
        <v>345</v>
      </c>
      <c r="D3" s="10">
        <v>440</v>
      </c>
      <c r="E3" s="10">
        <v>600</v>
      </c>
      <c r="F3" s="8">
        <v>0.5</v>
      </c>
      <c r="H3" s="6" t="s">
        <v>58</v>
      </c>
      <c r="I3" s="8">
        <v>2.41</v>
      </c>
    </row>
    <row r="4" spans="1:12" x14ac:dyDescent="0.3">
      <c r="A4" s="2">
        <f t="shared" ref="A4:A67" si="0">IF(B4&lt;&gt;0,A3+1,"")</f>
        <v>3</v>
      </c>
      <c r="B4" s="8">
        <v>1.6400000000000001</v>
      </c>
      <c r="C4" s="10">
        <v>345</v>
      </c>
      <c r="D4" s="10">
        <v>440</v>
      </c>
      <c r="E4" s="10">
        <v>600</v>
      </c>
      <c r="F4" s="8">
        <v>1</v>
      </c>
      <c r="I4" s="33"/>
    </row>
    <row r="5" spans="1:12" x14ac:dyDescent="0.3">
      <c r="A5" s="2">
        <f t="shared" si="0"/>
        <v>4</v>
      </c>
      <c r="B5" s="8">
        <v>2.028</v>
      </c>
      <c r="C5" s="10">
        <v>345</v>
      </c>
      <c r="D5" s="10">
        <v>440</v>
      </c>
      <c r="E5" s="10">
        <v>600</v>
      </c>
      <c r="F5" s="8">
        <v>0.3</v>
      </c>
      <c r="I5" s="33"/>
      <c r="J5" s="5"/>
    </row>
    <row r="6" spans="1:12" x14ac:dyDescent="0.3">
      <c r="A6" s="2">
        <f t="shared" si="0"/>
        <v>5</v>
      </c>
      <c r="B6" s="8">
        <v>1.6360000000000001</v>
      </c>
      <c r="C6" s="10">
        <v>345</v>
      </c>
      <c r="D6" s="10">
        <v>440</v>
      </c>
      <c r="E6" s="10">
        <v>600</v>
      </c>
      <c r="F6" s="8">
        <v>0.1</v>
      </c>
    </row>
    <row r="7" spans="1:12" x14ac:dyDescent="0.3">
      <c r="A7" s="2">
        <f t="shared" si="0"/>
        <v>6</v>
      </c>
      <c r="B7" s="8">
        <v>1.5624000000000002</v>
      </c>
      <c r="C7" s="10">
        <v>345</v>
      </c>
      <c r="D7" s="10">
        <v>440</v>
      </c>
      <c r="E7" s="10">
        <v>600</v>
      </c>
      <c r="F7" s="8">
        <v>0.18</v>
      </c>
    </row>
    <row r="8" spans="1:12" x14ac:dyDescent="0.3">
      <c r="A8" s="2">
        <f t="shared" si="0"/>
        <v>7</v>
      </c>
      <c r="B8" s="8">
        <v>1.476</v>
      </c>
      <c r="C8" s="10">
        <v>345</v>
      </c>
      <c r="D8" s="10">
        <v>440</v>
      </c>
      <c r="E8" s="10">
        <v>600</v>
      </c>
      <c r="F8" s="8">
        <v>0.9</v>
      </c>
    </row>
    <row r="9" spans="1:12" x14ac:dyDescent="0.3">
      <c r="A9" s="2">
        <f t="shared" si="0"/>
        <v>8</v>
      </c>
      <c r="B9" s="8">
        <v>1.8040000000000003</v>
      </c>
      <c r="C9" s="10">
        <v>345</v>
      </c>
      <c r="D9" s="10">
        <v>440</v>
      </c>
      <c r="E9" s="10">
        <v>600</v>
      </c>
      <c r="F9" s="8">
        <v>1.1000000000000001</v>
      </c>
      <c r="H9" s="1"/>
    </row>
    <row r="10" spans="1:12" x14ac:dyDescent="0.3">
      <c r="A10" s="2">
        <f t="shared" si="0"/>
        <v>9</v>
      </c>
      <c r="B10" s="8">
        <v>3</v>
      </c>
      <c r="C10" s="10">
        <v>345</v>
      </c>
      <c r="D10" s="10">
        <v>440</v>
      </c>
      <c r="E10" s="10">
        <v>600</v>
      </c>
      <c r="F10" s="8">
        <v>3</v>
      </c>
      <c r="H10" s="77"/>
      <c r="I10" s="77"/>
      <c r="J10" s="77"/>
      <c r="K10" s="77"/>
      <c r="L10" s="77"/>
    </row>
    <row r="11" spans="1:12" x14ac:dyDescent="0.3">
      <c r="A11" s="2" t="str">
        <f t="shared" si="0"/>
        <v/>
      </c>
      <c r="H11" s="77"/>
      <c r="I11" s="77"/>
      <c r="J11" s="77"/>
      <c r="K11" s="77"/>
      <c r="L11" s="77"/>
    </row>
    <row r="12" spans="1:12" x14ac:dyDescent="0.3">
      <c r="A12" s="2" t="str">
        <f t="shared" si="0"/>
        <v/>
      </c>
      <c r="H12" s="77"/>
      <c r="I12" s="77"/>
      <c r="J12" s="77"/>
      <c r="K12" s="77"/>
      <c r="L12" s="77"/>
    </row>
    <row r="13" spans="1:12" x14ac:dyDescent="0.3">
      <c r="A13" s="2" t="str">
        <f t="shared" si="0"/>
        <v/>
      </c>
      <c r="H13" s="77"/>
      <c r="I13" s="77"/>
      <c r="J13" s="77"/>
      <c r="K13" s="77"/>
      <c r="L13" s="77"/>
    </row>
    <row r="14" spans="1:12" x14ac:dyDescent="0.3">
      <c r="A14" s="2" t="str">
        <f t="shared" si="0"/>
        <v/>
      </c>
      <c r="H14" s="77"/>
      <c r="I14" s="77"/>
      <c r="J14" s="77"/>
      <c r="K14" s="77"/>
      <c r="L14" s="77"/>
    </row>
    <row r="15" spans="1:12" x14ac:dyDescent="0.3">
      <c r="A15" s="2" t="str">
        <f t="shared" si="0"/>
        <v/>
      </c>
      <c r="H15" s="77"/>
      <c r="I15" s="77"/>
      <c r="J15" s="77"/>
      <c r="K15" s="77"/>
      <c r="L15" s="77"/>
    </row>
    <row r="16" spans="1:12" x14ac:dyDescent="0.3">
      <c r="A16" s="2" t="str">
        <f t="shared" si="0"/>
        <v/>
      </c>
      <c r="H16" s="77"/>
      <c r="I16" s="77"/>
      <c r="J16" s="77"/>
      <c r="K16" s="77"/>
      <c r="L16" s="77"/>
    </row>
    <row r="17" spans="1:12" x14ac:dyDescent="0.3">
      <c r="A17" s="2" t="str">
        <f t="shared" si="0"/>
        <v/>
      </c>
      <c r="H17" s="77"/>
      <c r="I17" s="77"/>
      <c r="J17" s="77"/>
      <c r="K17" s="77"/>
      <c r="L17" s="77"/>
    </row>
    <row r="18" spans="1:12" x14ac:dyDescent="0.3">
      <c r="A18" s="2" t="str">
        <f t="shared" si="0"/>
        <v/>
      </c>
      <c r="H18" s="77"/>
      <c r="I18" s="77"/>
      <c r="J18" s="77"/>
      <c r="K18" s="77"/>
      <c r="L18" s="77"/>
    </row>
    <row r="19" spans="1:12" x14ac:dyDescent="0.3">
      <c r="A19" s="2" t="str">
        <f t="shared" si="0"/>
        <v/>
      </c>
      <c r="H19" s="77"/>
      <c r="I19" s="77"/>
      <c r="J19" s="77"/>
      <c r="K19" s="77"/>
      <c r="L19" s="77"/>
    </row>
    <row r="20" spans="1:12" x14ac:dyDescent="0.3">
      <c r="A20" s="2" t="str">
        <f t="shared" si="0"/>
        <v/>
      </c>
      <c r="H20" s="77"/>
      <c r="I20" s="77"/>
      <c r="J20" s="77"/>
      <c r="K20" s="77"/>
      <c r="L20" s="77"/>
    </row>
    <row r="21" spans="1:12" x14ac:dyDescent="0.3">
      <c r="A21" s="2" t="str">
        <f t="shared" si="0"/>
        <v/>
      </c>
      <c r="H21" s="77"/>
      <c r="I21" s="77"/>
      <c r="J21" s="77"/>
      <c r="K21" s="77"/>
      <c r="L21" s="77"/>
    </row>
    <row r="22" spans="1:12" x14ac:dyDescent="0.3">
      <c r="A22" s="2" t="str">
        <f t="shared" si="0"/>
        <v/>
      </c>
      <c r="H22" s="77"/>
      <c r="I22" s="77"/>
      <c r="J22" s="77"/>
      <c r="K22" s="77"/>
      <c r="L22" s="77"/>
    </row>
    <row r="23" spans="1:12" hidden="1" x14ac:dyDescent="0.3">
      <c r="A23" s="2" t="str">
        <f t="shared" si="0"/>
        <v/>
      </c>
      <c r="H23" s="77"/>
      <c r="I23" s="77"/>
      <c r="J23" s="77"/>
      <c r="K23" s="77"/>
      <c r="L23" s="77"/>
    </row>
    <row r="24" spans="1:12" hidden="1" x14ac:dyDescent="0.3">
      <c r="A24" s="2" t="str">
        <f t="shared" si="0"/>
        <v/>
      </c>
      <c r="H24" s="77"/>
      <c r="I24" s="77"/>
      <c r="J24" s="77"/>
      <c r="K24" s="77"/>
      <c r="L24" s="77"/>
    </row>
    <row r="25" spans="1:12" hidden="1" x14ac:dyDescent="0.3">
      <c r="A25" s="2" t="str">
        <f t="shared" si="0"/>
        <v/>
      </c>
      <c r="H25" s="77"/>
      <c r="I25" s="77"/>
      <c r="J25" s="77"/>
      <c r="K25" s="77"/>
      <c r="L25" s="77"/>
    </row>
    <row r="26" spans="1:12" hidden="1" x14ac:dyDescent="0.3">
      <c r="A26" s="2" t="str">
        <f t="shared" si="0"/>
        <v/>
      </c>
      <c r="H26" s="77"/>
      <c r="I26" s="77"/>
      <c r="J26" s="77"/>
      <c r="K26" s="77"/>
      <c r="L26" s="77"/>
    </row>
    <row r="27" spans="1:12" hidden="1" x14ac:dyDescent="0.3">
      <c r="A27" s="2" t="str">
        <f t="shared" si="0"/>
        <v/>
      </c>
      <c r="H27" s="77"/>
      <c r="I27" s="77"/>
      <c r="J27" s="77"/>
      <c r="K27" s="77"/>
      <c r="L27" s="77"/>
    </row>
    <row r="28" spans="1:12" hidden="1" x14ac:dyDescent="0.3">
      <c r="A28" s="2" t="str">
        <f t="shared" si="0"/>
        <v/>
      </c>
      <c r="H28" s="77"/>
      <c r="I28" s="77"/>
      <c r="J28" s="77"/>
      <c r="K28" s="77"/>
      <c r="L28" s="77"/>
    </row>
    <row r="29" spans="1:12" hidden="1" x14ac:dyDescent="0.3">
      <c r="A29" s="2" t="str">
        <f t="shared" si="0"/>
        <v/>
      </c>
      <c r="H29" s="77"/>
      <c r="I29" s="77"/>
      <c r="J29" s="77"/>
      <c r="K29" s="77"/>
      <c r="L29" s="77"/>
    </row>
    <row r="30" spans="1:12" hidden="1" x14ac:dyDescent="0.3">
      <c r="A30" s="2" t="str">
        <f t="shared" si="0"/>
        <v/>
      </c>
      <c r="H30" s="77"/>
      <c r="I30" s="77"/>
      <c r="J30" s="77"/>
      <c r="K30" s="77"/>
      <c r="L30" s="77"/>
    </row>
    <row r="31" spans="1:12" hidden="1" x14ac:dyDescent="0.3">
      <c r="A31" s="2" t="str">
        <f t="shared" si="0"/>
        <v/>
      </c>
    </row>
    <row r="32" spans="1:12" hidden="1" x14ac:dyDescent="0.3">
      <c r="A32" s="2" t="str">
        <f t="shared" si="0"/>
        <v/>
      </c>
    </row>
    <row r="33" spans="1:1" hidden="1" x14ac:dyDescent="0.3">
      <c r="A33" s="2" t="str">
        <f t="shared" si="0"/>
        <v/>
      </c>
    </row>
    <row r="34" spans="1:1" hidden="1" x14ac:dyDescent="0.3">
      <c r="A34" s="2" t="str">
        <f t="shared" si="0"/>
        <v/>
      </c>
    </row>
    <row r="35" spans="1:1" hidden="1" x14ac:dyDescent="0.3">
      <c r="A35" s="2" t="str">
        <f t="shared" si="0"/>
        <v/>
      </c>
    </row>
    <row r="36" spans="1:1" hidden="1" x14ac:dyDescent="0.3">
      <c r="A36" s="2" t="str">
        <f t="shared" si="0"/>
        <v/>
      </c>
    </row>
    <row r="37" spans="1:1" hidden="1" x14ac:dyDescent="0.3">
      <c r="A37" s="2" t="str">
        <f t="shared" si="0"/>
        <v/>
      </c>
    </row>
    <row r="38" spans="1:1" hidden="1" x14ac:dyDescent="0.3">
      <c r="A38" s="2" t="str">
        <f t="shared" si="0"/>
        <v/>
      </c>
    </row>
    <row r="39" spans="1:1" hidden="1" x14ac:dyDescent="0.3">
      <c r="A39" s="2" t="str">
        <f t="shared" si="0"/>
        <v/>
      </c>
    </row>
    <row r="40" spans="1:1" hidden="1" x14ac:dyDescent="0.3">
      <c r="A40" s="2" t="str">
        <f t="shared" si="0"/>
        <v/>
      </c>
    </row>
    <row r="41" spans="1:1" hidden="1" x14ac:dyDescent="0.3">
      <c r="A41" s="2" t="str">
        <f t="shared" si="0"/>
        <v/>
      </c>
    </row>
    <row r="42" spans="1:1" hidden="1" x14ac:dyDescent="0.3">
      <c r="A42" s="2" t="str">
        <f t="shared" si="0"/>
        <v/>
      </c>
    </row>
    <row r="43" spans="1:1" hidden="1" x14ac:dyDescent="0.3">
      <c r="A43" s="2" t="str">
        <f t="shared" si="0"/>
        <v/>
      </c>
    </row>
    <row r="44" spans="1:1" hidden="1" x14ac:dyDescent="0.3">
      <c r="A44" s="2" t="str">
        <f t="shared" si="0"/>
        <v/>
      </c>
    </row>
    <row r="45" spans="1:1" hidden="1" x14ac:dyDescent="0.3">
      <c r="A45" s="2" t="str">
        <f t="shared" si="0"/>
        <v/>
      </c>
    </row>
    <row r="46" spans="1:1" hidden="1" x14ac:dyDescent="0.3">
      <c r="A46" s="2" t="str">
        <f t="shared" si="0"/>
        <v/>
      </c>
    </row>
    <row r="47" spans="1:1" hidden="1" x14ac:dyDescent="0.3">
      <c r="A47" s="2" t="str">
        <f t="shared" si="0"/>
        <v/>
      </c>
    </row>
    <row r="48" spans="1:1" hidden="1" x14ac:dyDescent="0.3">
      <c r="A48" s="2" t="str">
        <f t="shared" si="0"/>
        <v/>
      </c>
    </row>
    <row r="49" spans="1:1" hidden="1" x14ac:dyDescent="0.3">
      <c r="A49" s="2" t="str">
        <f t="shared" si="0"/>
        <v/>
      </c>
    </row>
    <row r="50" spans="1:1" hidden="1" x14ac:dyDescent="0.3">
      <c r="A50" s="2" t="str">
        <f t="shared" si="0"/>
        <v/>
      </c>
    </row>
    <row r="51" spans="1:1" hidden="1" x14ac:dyDescent="0.3">
      <c r="A51" s="2" t="str">
        <f t="shared" si="0"/>
        <v/>
      </c>
    </row>
    <row r="52" spans="1:1" hidden="1" x14ac:dyDescent="0.3">
      <c r="A52" s="2" t="str">
        <f t="shared" si="0"/>
        <v/>
      </c>
    </row>
    <row r="53" spans="1:1" hidden="1" x14ac:dyDescent="0.3">
      <c r="A53" s="2" t="str">
        <f t="shared" si="0"/>
        <v/>
      </c>
    </row>
    <row r="54" spans="1:1" hidden="1" x14ac:dyDescent="0.3">
      <c r="A54" s="2" t="str">
        <f t="shared" si="0"/>
        <v/>
      </c>
    </row>
    <row r="55" spans="1:1" hidden="1" x14ac:dyDescent="0.3">
      <c r="A55" s="2" t="str">
        <f t="shared" si="0"/>
        <v/>
      </c>
    </row>
    <row r="56" spans="1:1" hidden="1" x14ac:dyDescent="0.3">
      <c r="A56" s="2" t="str">
        <f t="shared" si="0"/>
        <v/>
      </c>
    </row>
    <row r="57" spans="1:1" hidden="1" x14ac:dyDescent="0.3">
      <c r="A57" s="2" t="str">
        <f t="shared" si="0"/>
        <v/>
      </c>
    </row>
    <row r="58" spans="1:1" hidden="1" x14ac:dyDescent="0.3">
      <c r="A58" s="2" t="str">
        <f t="shared" si="0"/>
        <v/>
      </c>
    </row>
    <row r="59" spans="1:1" hidden="1" x14ac:dyDescent="0.3">
      <c r="A59" s="2" t="str">
        <f t="shared" si="0"/>
        <v/>
      </c>
    </row>
    <row r="60" spans="1:1" hidden="1" x14ac:dyDescent="0.3">
      <c r="A60" s="2" t="str">
        <f t="shared" si="0"/>
        <v/>
      </c>
    </row>
    <row r="61" spans="1:1" hidden="1" x14ac:dyDescent="0.3">
      <c r="A61" s="2" t="str">
        <f t="shared" si="0"/>
        <v/>
      </c>
    </row>
    <row r="62" spans="1:1" hidden="1" x14ac:dyDescent="0.3">
      <c r="A62" s="2" t="str">
        <f t="shared" si="0"/>
        <v/>
      </c>
    </row>
    <row r="63" spans="1:1" hidden="1" x14ac:dyDescent="0.3">
      <c r="A63" s="2" t="str">
        <f t="shared" si="0"/>
        <v/>
      </c>
    </row>
    <row r="64" spans="1:1" hidden="1" x14ac:dyDescent="0.3">
      <c r="A64" s="2" t="str">
        <f t="shared" si="0"/>
        <v/>
      </c>
    </row>
    <row r="65" spans="1:1" hidden="1" x14ac:dyDescent="0.3">
      <c r="A65" s="2" t="str">
        <f t="shared" si="0"/>
        <v/>
      </c>
    </row>
    <row r="66" spans="1:1" hidden="1" x14ac:dyDescent="0.3">
      <c r="A66" s="2" t="str">
        <f t="shared" si="0"/>
        <v/>
      </c>
    </row>
    <row r="67" spans="1:1" hidden="1" x14ac:dyDescent="0.3">
      <c r="A67" s="2" t="str">
        <f t="shared" si="0"/>
        <v/>
      </c>
    </row>
    <row r="68" spans="1:1" hidden="1" x14ac:dyDescent="0.3">
      <c r="A68" s="2" t="str">
        <f t="shared" ref="A68:A131" si="1">IF(B68&lt;&gt;0,A67+1,"")</f>
        <v/>
      </c>
    </row>
    <row r="69" spans="1:1" hidden="1" x14ac:dyDescent="0.3">
      <c r="A69" s="2" t="str">
        <f t="shared" si="1"/>
        <v/>
      </c>
    </row>
    <row r="70" spans="1:1" hidden="1" x14ac:dyDescent="0.3">
      <c r="A70" s="2" t="str">
        <f t="shared" si="1"/>
        <v/>
      </c>
    </row>
    <row r="71" spans="1:1" hidden="1" x14ac:dyDescent="0.3">
      <c r="A71" s="2" t="str">
        <f t="shared" si="1"/>
        <v/>
      </c>
    </row>
    <row r="72" spans="1:1" hidden="1" x14ac:dyDescent="0.3">
      <c r="A72" s="2" t="str">
        <f t="shared" si="1"/>
        <v/>
      </c>
    </row>
    <row r="73" spans="1:1" hidden="1" x14ac:dyDescent="0.3">
      <c r="A73" s="2" t="str">
        <f t="shared" si="1"/>
        <v/>
      </c>
    </row>
    <row r="74" spans="1:1" hidden="1" x14ac:dyDescent="0.3">
      <c r="A74" s="2" t="str">
        <f t="shared" si="1"/>
        <v/>
      </c>
    </row>
    <row r="75" spans="1:1" hidden="1" x14ac:dyDescent="0.3">
      <c r="A75" s="2" t="str">
        <f t="shared" si="1"/>
        <v/>
      </c>
    </row>
    <row r="76" spans="1:1" hidden="1" x14ac:dyDescent="0.3">
      <c r="A76" s="2" t="str">
        <f t="shared" si="1"/>
        <v/>
      </c>
    </row>
    <row r="77" spans="1:1" hidden="1" x14ac:dyDescent="0.3">
      <c r="A77" s="2" t="str">
        <f t="shared" si="1"/>
        <v/>
      </c>
    </row>
    <row r="78" spans="1:1" hidden="1" x14ac:dyDescent="0.3">
      <c r="A78" s="2" t="str">
        <f t="shared" si="1"/>
        <v/>
      </c>
    </row>
    <row r="79" spans="1:1" hidden="1" x14ac:dyDescent="0.3">
      <c r="A79" s="2" t="str">
        <f t="shared" si="1"/>
        <v/>
      </c>
    </row>
    <row r="80" spans="1:1" hidden="1" x14ac:dyDescent="0.3">
      <c r="A80" s="2" t="str">
        <f t="shared" si="1"/>
        <v/>
      </c>
    </row>
    <row r="81" spans="1:1" hidden="1" x14ac:dyDescent="0.3">
      <c r="A81" s="2" t="str">
        <f t="shared" si="1"/>
        <v/>
      </c>
    </row>
    <row r="82" spans="1:1" hidden="1" x14ac:dyDescent="0.3">
      <c r="A82" s="2" t="str">
        <f t="shared" si="1"/>
        <v/>
      </c>
    </row>
    <row r="83" spans="1:1" hidden="1" x14ac:dyDescent="0.3">
      <c r="A83" s="2" t="str">
        <f t="shared" si="1"/>
        <v/>
      </c>
    </row>
    <row r="84" spans="1:1" hidden="1" x14ac:dyDescent="0.3">
      <c r="A84" s="2" t="str">
        <f t="shared" si="1"/>
        <v/>
      </c>
    </row>
    <row r="85" spans="1:1" hidden="1" x14ac:dyDescent="0.3">
      <c r="A85" s="2" t="str">
        <f t="shared" si="1"/>
        <v/>
      </c>
    </row>
    <row r="86" spans="1:1" hidden="1" x14ac:dyDescent="0.3">
      <c r="A86" s="2" t="str">
        <f t="shared" si="1"/>
        <v/>
      </c>
    </row>
    <row r="87" spans="1:1" hidden="1" x14ac:dyDescent="0.3">
      <c r="A87" s="2" t="str">
        <f t="shared" si="1"/>
        <v/>
      </c>
    </row>
    <row r="88" spans="1:1" hidden="1" x14ac:dyDescent="0.3">
      <c r="A88" s="2" t="str">
        <f t="shared" si="1"/>
        <v/>
      </c>
    </row>
    <row r="89" spans="1:1" hidden="1" x14ac:dyDescent="0.3">
      <c r="A89" s="2" t="str">
        <f t="shared" si="1"/>
        <v/>
      </c>
    </row>
    <row r="90" spans="1:1" hidden="1" x14ac:dyDescent="0.3">
      <c r="A90" s="2" t="str">
        <f t="shared" si="1"/>
        <v/>
      </c>
    </row>
    <row r="91" spans="1:1" hidden="1" x14ac:dyDescent="0.3">
      <c r="A91" s="2" t="str">
        <f t="shared" si="1"/>
        <v/>
      </c>
    </row>
    <row r="92" spans="1:1" hidden="1" x14ac:dyDescent="0.3">
      <c r="A92" s="2" t="str">
        <f t="shared" si="1"/>
        <v/>
      </c>
    </row>
    <row r="93" spans="1:1" hidden="1" x14ac:dyDescent="0.3">
      <c r="A93" s="2" t="str">
        <f t="shared" si="1"/>
        <v/>
      </c>
    </row>
    <row r="94" spans="1:1" hidden="1" x14ac:dyDescent="0.3">
      <c r="A94" s="2" t="str">
        <f t="shared" si="1"/>
        <v/>
      </c>
    </row>
    <row r="95" spans="1:1" hidden="1" x14ac:dyDescent="0.3">
      <c r="A95" s="2" t="str">
        <f t="shared" si="1"/>
        <v/>
      </c>
    </row>
    <row r="96" spans="1:1" hidden="1" x14ac:dyDescent="0.3">
      <c r="A96" s="2" t="str">
        <f t="shared" si="1"/>
        <v/>
      </c>
    </row>
    <row r="97" spans="1:1" hidden="1" x14ac:dyDescent="0.3">
      <c r="A97" s="2" t="str">
        <f t="shared" si="1"/>
        <v/>
      </c>
    </row>
    <row r="98" spans="1:1" hidden="1" x14ac:dyDescent="0.3">
      <c r="A98" s="2" t="str">
        <f t="shared" si="1"/>
        <v/>
      </c>
    </row>
    <row r="99" spans="1:1" hidden="1" x14ac:dyDescent="0.3">
      <c r="A99" s="2" t="str">
        <f t="shared" si="1"/>
        <v/>
      </c>
    </row>
    <row r="100" spans="1:1" hidden="1" x14ac:dyDescent="0.3">
      <c r="A100" s="2" t="str">
        <f t="shared" si="1"/>
        <v/>
      </c>
    </row>
    <row r="101" spans="1:1" hidden="1" x14ac:dyDescent="0.3">
      <c r="A101" s="2" t="str">
        <f t="shared" si="1"/>
        <v/>
      </c>
    </row>
    <row r="102" spans="1:1" hidden="1" x14ac:dyDescent="0.3">
      <c r="A102" s="2" t="str">
        <f t="shared" si="1"/>
        <v/>
      </c>
    </row>
    <row r="103" spans="1:1" hidden="1" x14ac:dyDescent="0.3">
      <c r="A103" s="2" t="str">
        <f t="shared" si="1"/>
        <v/>
      </c>
    </row>
    <row r="104" spans="1:1" hidden="1" x14ac:dyDescent="0.3">
      <c r="A104" s="2" t="str">
        <f t="shared" si="1"/>
        <v/>
      </c>
    </row>
    <row r="105" spans="1:1" hidden="1" x14ac:dyDescent="0.3">
      <c r="A105" s="2" t="str">
        <f t="shared" si="1"/>
        <v/>
      </c>
    </row>
    <row r="106" spans="1:1" hidden="1" x14ac:dyDescent="0.3">
      <c r="A106" s="2" t="str">
        <f t="shared" si="1"/>
        <v/>
      </c>
    </row>
    <row r="107" spans="1:1" hidden="1" x14ac:dyDescent="0.3">
      <c r="A107" s="2" t="str">
        <f t="shared" si="1"/>
        <v/>
      </c>
    </row>
    <row r="108" spans="1:1" hidden="1" x14ac:dyDescent="0.3">
      <c r="A108" s="2" t="str">
        <f t="shared" si="1"/>
        <v/>
      </c>
    </row>
    <row r="109" spans="1:1" hidden="1" x14ac:dyDescent="0.3">
      <c r="A109" s="2" t="str">
        <f t="shared" si="1"/>
        <v/>
      </c>
    </row>
    <row r="110" spans="1:1" hidden="1" x14ac:dyDescent="0.3">
      <c r="A110" s="2" t="str">
        <f t="shared" si="1"/>
        <v/>
      </c>
    </row>
    <row r="111" spans="1:1" hidden="1" x14ac:dyDescent="0.3">
      <c r="A111" s="2" t="str">
        <f t="shared" si="1"/>
        <v/>
      </c>
    </row>
    <row r="112" spans="1:1" hidden="1" x14ac:dyDescent="0.3">
      <c r="A112" s="2" t="str">
        <f t="shared" si="1"/>
        <v/>
      </c>
    </row>
    <row r="113" spans="1:1" hidden="1" x14ac:dyDescent="0.3">
      <c r="A113" s="2" t="str">
        <f t="shared" si="1"/>
        <v/>
      </c>
    </row>
    <row r="114" spans="1:1" hidden="1" x14ac:dyDescent="0.3">
      <c r="A114" s="2" t="str">
        <f t="shared" si="1"/>
        <v/>
      </c>
    </row>
    <row r="115" spans="1:1" hidden="1" x14ac:dyDescent="0.3">
      <c r="A115" s="2" t="str">
        <f t="shared" si="1"/>
        <v/>
      </c>
    </row>
    <row r="116" spans="1:1" hidden="1" x14ac:dyDescent="0.3">
      <c r="A116" s="2" t="str">
        <f t="shared" si="1"/>
        <v/>
      </c>
    </row>
    <row r="117" spans="1:1" hidden="1" x14ac:dyDescent="0.3">
      <c r="A117" s="2" t="str">
        <f t="shared" si="1"/>
        <v/>
      </c>
    </row>
    <row r="118" spans="1:1" hidden="1" x14ac:dyDescent="0.3">
      <c r="A118" s="2" t="str">
        <f t="shared" si="1"/>
        <v/>
      </c>
    </row>
    <row r="119" spans="1:1" hidden="1" x14ac:dyDescent="0.3">
      <c r="A119" s="2" t="str">
        <f t="shared" si="1"/>
        <v/>
      </c>
    </row>
    <row r="120" spans="1:1" hidden="1" x14ac:dyDescent="0.3">
      <c r="A120" s="2" t="str">
        <f t="shared" si="1"/>
        <v/>
      </c>
    </row>
    <row r="121" spans="1:1" hidden="1" x14ac:dyDescent="0.3">
      <c r="A121" s="2" t="str">
        <f t="shared" si="1"/>
        <v/>
      </c>
    </row>
    <row r="122" spans="1:1" hidden="1" x14ac:dyDescent="0.3">
      <c r="A122" s="2" t="str">
        <f t="shared" si="1"/>
        <v/>
      </c>
    </row>
    <row r="123" spans="1:1" hidden="1" x14ac:dyDescent="0.3">
      <c r="A123" s="2" t="str">
        <f t="shared" si="1"/>
        <v/>
      </c>
    </row>
    <row r="124" spans="1:1" hidden="1" x14ac:dyDescent="0.3">
      <c r="A124" s="2" t="str">
        <f t="shared" si="1"/>
        <v/>
      </c>
    </row>
    <row r="125" spans="1:1" hidden="1" x14ac:dyDescent="0.3">
      <c r="A125" s="2" t="str">
        <f t="shared" si="1"/>
        <v/>
      </c>
    </row>
    <row r="126" spans="1:1" hidden="1" x14ac:dyDescent="0.3">
      <c r="A126" s="2" t="str">
        <f t="shared" si="1"/>
        <v/>
      </c>
    </row>
    <row r="127" spans="1:1" hidden="1" x14ac:dyDescent="0.3">
      <c r="A127" s="2" t="str">
        <f t="shared" si="1"/>
        <v/>
      </c>
    </row>
    <row r="128" spans="1:1" hidden="1" x14ac:dyDescent="0.3">
      <c r="A128" s="2" t="str">
        <f t="shared" si="1"/>
        <v/>
      </c>
    </row>
    <row r="129" spans="1:1" hidden="1" x14ac:dyDescent="0.3">
      <c r="A129" s="2" t="str">
        <f t="shared" si="1"/>
        <v/>
      </c>
    </row>
    <row r="130" spans="1:1" hidden="1" x14ac:dyDescent="0.3">
      <c r="A130" s="2" t="str">
        <f t="shared" si="1"/>
        <v/>
      </c>
    </row>
    <row r="131" spans="1:1" hidden="1" x14ac:dyDescent="0.3">
      <c r="A131" s="2" t="str">
        <f t="shared" si="1"/>
        <v/>
      </c>
    </row>
    <row r="132" spans="1:1" hidden="1" x14ac:dyDescent="0.3">
      <c r="A132" s="2" t="str">
        <f t="shared" ref="A132:A195" si="2">IF(B132&lt;&gt;0,A131+1,"")</f>
        <v/>
      </c>
    </row>
    <row r="133" spans="1:1" hidden="1" x14ac:dyDescent="0.3">
      <c r="A133" s="2" t="str">
        <f t="shared" si="2"/>
        <v/>
      </c>
    </row>
    <row r="134" spans="1:1" hidden="1" x14ac:dyDescent="0.3">
      <c r="A134" s="2" t="str">
        <f t="shared" si="2"/>
        <v/>
      </c>
    </row>
    <row r="135" spans="1:1" hidden="1" x14ac:dyDescent="0.3">
      <c r="A135" s="2" t="str">
        <f t="shared" si="2"/>
        <v/>
      </c>
    </row>
    <row r="136" spans="1:1" hidden="1" x14ac:dyDescent="0.3">
      <c r="A136" s="2" t="str">
        <f t="shared" si="2"/>
        <v/>
      </c>
    </row>
    <row r="137" spans="1:1" hidden="1" x14ac:dyDescent="0.3">
      <c r="A137" s="2" t="str">
        <f t="shared" si="2"/>
        <v/>
      </c>
    </row>
    <row r="138" spans="1:1" hidden="1" x14ac:dyDescent="0.3">
      <c r="A138" s="2" t="str">
        <f t="shared" si="2"/>
        <v/>
      </c>
    </row>
    <row r="139" spans="1:1" hidden="1" x14ac:dyDescent="0.3">
      <c r="A139" s="2" t="str">
        <f t="shared" si="2"/>
        <v/>
      </c>
    </row>
    <row r="140" spans="1:1" hidden="1" x14ac:dyDescent="0.3">
      <c r="A140" s="2" t="str">
        <f t="shared" si="2"/>
        <v/>
      </c>
    </row>
    <row r="141" spans="1:1" hidden="1" x14ac:dyDescent="0.3">
      <c r="A141" s="2" t="str">
        <f t="shared" si="2"/>
        <v/>
      </c>
    </row>
    <row r="142" spans="1:1" hidden="1" x14ac:dyDescent="0.3">
      <c r="A142" s="2" t="str">
        <f t="shared" si="2"/>
        <v/>
      </c>
    </row>
    <row r="143" spans="1:1" hidden="1" x14ac:dyDescent="0.3">
      <c r="A143" s="2" t="str">
        <f t="shared" si="2"/>
        <v/>
      </c>
    </row>
    <row r="144" spans="1:1" hidden="1" x14ac:dyDescent="0.3">
      <c r="A144" s="2" t="str">
        <f t="shared" si="2"/>
        <v/>
      </c>
    </row>
    <row r="145" spans="1:1" hidden="1" x14ac:dyDescent="0.3">
      <c r="A145" s="2" t="str">
        <f t="shared" si="2"/>
        <v/>
      </c>
    </row>
    <row r="146" spans="1:1" hidden="1" x14ac:dyDescent="0.3">
      <c r="A146" s="2" t="str">
        <f t="shared" si="2"/>
        <v/>
      </c>
    </row>
    <row r="147" spans="1:1" hidden="1" x14ac:dyDescent="0.3">
      <c r="A147" s="2" t="str">
        <f t="shared" si="2"/>
        <v/>
      </c>
    </row>
    <row r="148" spans="1:1" hidden="1" x14ac:dyDescent="0.3">
      <c r="A148" s="2" t="str">
        <f t="shared" si="2"/>
        <v/>
      </c>
    </row>
    <row r="149" spans="1:1" hidden="1" x14ac:dyDescent="0.3">
      <c r="A149" s="2" t="str">
        <f t="shared" si="2"/>
        <v/>
      </c>
    </row>
    <row r="150" spans="1:1" hidden="1" x14ac:dyDescent="0.3">
      <c r="A150" s="2" t="str">
        <f t="shared" si="2"/>
        <v/>
      </c>
    </row>
    <row r="151" spans="1:1" hidden="1" x14ac:dyDescent="0.3">
      <c r="A151" s="2" t="str">
        <f t="shared" si="2"/>
        <v/>
      </c>
    </row>
    <row r="152" spans="1:1" hidden="1" x14ac:dyDescent="0.3">
      <c r="A152" s="2" t="str">
        <f t="shared" si="2"/>
        <v/>
      </c>
    </row>
    <row r="153" spans="1:1" hidden="1" x14ac:dyDescent="0.3">
      <c r="A153" s="2" t="str">
        <f t="shared" si="2"/>
        <v/>
      </c>
    </row>
    <row r="154" spans="1:1" hidden="1" x14ac:dyDescent="0.3">
      <c r="A154" s="2" t="str">
        <f t="shared" si="2"/>
        <v/>
      </c>
    </row>
    <row r="155" spans="1:1" hidden="1" x14ac:dyDescent="0.3">
      <c r="A155" s="2" t="str">
        <f t="shared" si="2"/>
        <v/>
      </c>
    </row>
    <row r="156" spans="1:1" hidden="1" x14ac:dyDescent="0.3">
      <c r="A156" s="2" t="str">
        <f t="shared" si="2"/>
        <v/>
      </c>
    </row>
    <row r="157" spans="1:1" hidden="1" x14ac:dyDescent="0.3">
      <c r="A157" s="2" t="str">
        <f t="shared" si="2"/>
        <v/>
      </c>
    </row>
    <row r="158" spans="1:1" hidden="1" x14ac:dyDescent="0.3">
      <c r="A158" s="2" t="str">
        <f t="shared" si="2"/>
        <v/>
      </c>
    </row>
    <row r="159" spans="1:1" hidden="1" x14ac:dyDescent="0.3">
      <c r="A159" s="2" t="str">
        <f t="shared" si="2"/>
        <v/>
      </c>
    </row>
    <row r="160" spans="1:1" hidden="1" x14ac:dyDescent="0.3">
      <c r="A160" s="2" t="str">
        <f t="shared" si="2"/>
        <v/>
      </c>
    </row>
    <row r="161" spans="1:1" hidden="1" x14ac:dyDescent="0.3">
      <c r="A161" s="2" t="str">
        <f t="shared" si="2"/>
        <v/>
      </c>
    </row>
    <row r="162" spans="1:1" hidden="1" x14ac:dyDescent="0.3">
      <c r="A162" s="2" t="str">
        <f t="shared" si="2"/>
        <v/>
      </c>
    </row>
    <row r="163" spans="1:1" hidden="1" x14ac:dyDescent="0.3">
      <c r="A163" s="2" t="str">
        <f t="shared" si="2"/>
        <v/>
      </c>
    </row>
    <row r="164" spans="1:1" hidden="1" x14ac:dyDescent="0.3">
      <c r="A164" s="2" t="str">
        <f t="shared" si="2"/>
        <v/>
      </c>
    </row>
    <row r="165" spans="1:1" hidden="1" x14ac:dyDescent="0.3">
      <c r="A165" s="2" t="str">
        <f t="shared" si="2"/>
        <v/>
      </c>
    </row>
    <row r="166" spans="1:1" hidden="1" x14ac:dyDescent="0.3">
      <c r="A166" s="2" t="str">
        <f t="shared" si="2"/>
        <v/>
      </c>
    </row>
    <row r="167" spans="1:1" hidden="1" x14ac:dyDescent="0.3">
      <c r="A167" s="2" t="str">
        <f t="shared" si="2"/>
        <v/>
      </c>
    </row>
    <row r="168" spans="1:1" hidden="1" x14ac:dyDescent="0.3">
      <c r="A168" s="2" t="str">
        <f t="shared" si="2"/>
        <v/>
      </c>
    </row>
    <row r="169" spans="1:1" hidden="1" x14ac:dyDescent="0.3">
      <c r="A169" s="2" t="str">
        <f t="shared" si="2"/>
        <v/>
      </c>
    </row>
    <row r="170" spans="1:1" hidden="1" x14ac:dyDescent="0.3">
      <c r="A170" s="2" t="str">
        <f t="shared" si="2"/>
        <v/>
      </c>
    </row>
    <row r="171" spans="1:1" hidden="1" x14ac:dyDescent="0.3">
      <c r="A171" s="2" t="str">
        <f t="shared" si="2"/>
        <v/>
      </c>
    </row>
    <row r="172" spans="1:1" hidden="1" x14ac:dyDescent="0.3">
      <c r="A172" s="2" t="str">
        <f t="shared" si="2"/>
        <v/>
      </c>
    </row>
    <row r="173" spans="1:1" hidden="1" x14ac:dyDescent="0.3">
      <c r="A173" s="2" t="str">
        <f t="shared" si="2"/>
        <v/>
      </c>
    </row>
    <row r="174" spans="1:1" hidden="1" x14ac:dyDescent="0.3">
      <c r="A174" s="2" t="str">
        <f t="shared" si="2"/>
        <v/>
      </c>
    </row>
    <row r="175" spans="1:1" hidden="1" x14ac:dyDescent="0.3">
      <c r="A175" s="2" t="str">
        <f t="shared" si="2"/>
        <v/>
      </c>
    </row>
    <row r="176" spans="1:1" hidden="1" x14ac:dyDescent="0.3">
      <c r="A176" s="2" t="str">
        <f t="shared" si="2"/>
        <v/>
      </c>
    </row>
    <row r="177" spans="1:1" hidden="1" x14ac:dyDescent="0.3">
      <c r="A177" s="2" t="str">
        <f t="shared" si="2"/>
        <v/>
      </c>
    </row>
    <row r="178" spans="1:1" hidden="1" x14ac:dyDescent="0.3">
      <c r="A178" s="2" t="str">
        <f t="shared" si="2"/>
        <v/>
      </c>
    </row>
    <row r="179" spans="1:1" hidden="1" x14ac:dyDescent="0.3">
      <c r="A179" s="2" t="str">
        <f t="shared" si="2"/>
        <v/>
      </c>
    </row>
    <row r="180" spans="1:1" hidden="1" x14ac:dyDescent="0.3">
      <c r="A180" s="2" t="str">
        <f t="shared" si="2"/>
        <v/>
      </c>
    </row>
    <row r="181" spans="1:1" hidden="1" x14ac:dyDescent="0.3">
      <c r="A181" s="2" t="str">
        <f t="shared" si="2"/>
        <v/>
      </c>
    </row>
    <row r="182" spans="1:1" hidden="1" x14ac:dyDescent="0.3">
      <c r="A182" s="2" t="str">
        <f t="shared" si="2"/>
        <v/>
      </c>
    </row>
    <row r="183" spans="1:1" hidden="1" x14ac:dyDescent="0.3">
      <c r="A183" s="2" t="str">
        <f t="shared" si="2"/>
        <v/>
      </c>
    </row>
    <row r="184" spans="1:1" hidden="1" x14ac:dyDescent="0.3">
      <c r="A184" s="2" t="str">
        <f t="shared" si="2"/>
        <v/>
      </c>
    </row>
    <row r="185" spans="1:1" hidden="1" x14ac:dyDescent="0.3">
      <c r="A185" s="2" t="str">
        <f t="shared" si="2"/>
        <v/>
      </c>
    </row>
    <row r="186" spans="1:1" hidden="1" x14ac:dyDescent="0.3">
      <c r="A186" s="2" t="str">
        <f t="shared" si="2"/>
        <v/>
      </c>
    </row>
    <row r="187" spans="1:1" hidden="1" x14ac:dyDescent="0.3">
      <c r="A187" s="2" t="str">
        <f t="shared" si="2"/>
        <v/>
      </c>
    </row>
    <row r="188" spans="1:1" hidden="1" x14ac:dyDescent="0.3">
      <c r="A188" s="2" t="str">
        <f t="shared" si="2"/>
        <v/>
      </c>
    </row>
    <row r="189" spans="1:1" hidden="1" x14ac:dyDescent="0.3">
      <c r="A189" s="2" t="str">
        <f t="shared" si="2"/>
        <v/>
      </c>
    </row>
    <row r="190" spans="1:1" hidden="1" x14ac:dyDescent="0.3">
      <c r="A190" s="2" t="str">
        <f t="shared" si="2"/>
        <v/>
      </c>
    </row>
    <row r="191" spans="1:1" hidden="1" x14ac:dyDescent="0.3">
      <c r="A191" s="2" t="str">
        <f t="shared" si="2"/>
        <v/>
      </c>
    </row>
    <row r="192" spans="1:1" hidden="1" x14ac:dyDescent="0.3">
      <c r="A192" s="2" t="str">
        <f t="shared" si="2"/>
        <v/>
      </c>
    </row>
    <row r="193" spans="1:1" hidden="1" x14ac:dyDescent="0.3">
      <c r="A193" s="2" t="str">
        <f t="shared" si="2"/>
        <v/>
      </c>
    </row>
    <row r="194" spans="1:1" hidden="1" x14ac:dyDescent="0.3">
      <c r="A194" s="2" t="str">
        <f t="shared" si="2"/>
        <v/>
      </c>
    </row>
    <row r="195" spans="1:1" hidden="1" x14ac:dyDescent="0.3">
      <c r="A195" s="2" t="str">
        <f t="shared" si="2"/>
        <v/>
      </c>
    </row>
    <row r="196" spans="1:1" hidden="1" x14ac:dyDescent="0.3">
      <c r="A196" s="2" t="str">
        <f t="shared" ref="A196:A220" si="3">IF(B196&lt;&gt;0,A195+1,"")</f>
        <v/>
      </c>
    </row>
    <row r="197" spans="1:1" hidden="1" x14ac:dyDescent="0.3">
      <c r="A197" s="2" t="str">
        <f t="shared" si="3"/>
        <v/>
      </c>
    </row>
    <row r="198" spans="1:1" hidden="1" x14ac:dyDescent="0.3">
      <c r="A198" s="2" t="str">
        <f t="shared" si="3"/>
        <v/>
      </c>
    </row>
    <row r="199" spans="1:1" hidden="1" x14ac:dyDescent="0.3">
      <c r="A199" s="2" t="str">
        <f t="shared" si="3"/>
        <v/>
      </c>
    </row>
    <row r="200" spans="1:1" hidden="1" x14ac:dyDescent="0.3">
      <c r="A200" s="2" t="str">
        <f t="shared" si="3"/>
        <v/>
      </c>
    </row>
    <row r="201" spans="1:1" hidden="1" x14ac:dyDescent="0.3">
      <c r="A201" s="2" t="str">
        <f t="shared" si="3"/>
        <v/>
      </c>
    </row>
    <row r="202" spans="1:1" hidden="1" x14ac:dyDescent="0.3">
      <c r="A202" s="2" t="str">
        <f t="shared" si="3"/>
        <v/>
      </c>
    </row>
    <row r="203" spans="1:1" hidden="1" x14ac:dyDescent="0.3">
      <c r="A203" s="2" t="str">
        <f t="shared" si="3"/>
        <v/>
      </c>
    </row>
    <row r="204" spans="1:1" hidden="1" x14ac:dyDescent="0.3">
      <c r="A204" s="2" t="str">
        <f t="shared" si="3"/>
        <v/>
      </c>
    </row>
    <row r="205" spans="1:1" hidden="1" x14ac:dyDescent="0.3">
      <c r="A205" s="2" t="str">
        <f t="shared" si="3"/>
        <v/>
      </c>
    </row>
    <row r="206" spans="1:1" hidden="1" x14ac:dyDescent="0.3">
      <c r="A206" s="2" t="str">
        <f t="shared" si="3"/>
        <v/>
      </c>
    </row>
    <row r="207" spans="1:1" hidden="1" x14ac:dyDescent="0.3">
      <c r="A207" s="2" t="str">
        <f t="shared" si="3"/>
        <v/>
      </c>
    </row>
    <row r="208" spans="1:1" hidden="1" x14ac:dyDescent="0.3">
      <c r="A208" s="2" t="str">
        <f t="shared" si="3"/>
        <v/>
      </c>
    </row>
    <row r="209" spans="1:1" hidden="1" x14ac:dyDescent="0.3">
      <c r="A209" s="2" t="str">
        <f t="shared" si="3"/>
        <v/>
      </c>
    </row>
    <row r="210" spans="1:1" hidden="1" x14ac:dyDescent="0.3">
      <c r="A210" s="2" t="str">
        <f t="shared" si="3"/>
        <v/>
      </c>
    </row>
    <row r="211" spans="1:1" hidden="1" x14ac:dyDescent="0.3">
      <c r="A211" s="2" t="str">
        <f t="shared" si="3"/>
        <v/>
      </c>
    </row>
    <row r="212" spans="1:1" hidden="1" x14ac:dyDescent="0.3">
      <c r="A212" s="2" t="str">
        <f t="shared" si="3"/>
        <v/>
      </c>
    </row>
    <row r="213" spans="1:1" hidden="1" x14ac:dyDescent="0.3">
      <c r="A213" s="2" t="str">
        <f t="shared" si="3"/>
        <v/>
      </c>
    </row>
    <row r="214" spans="1:1" hidden="1" x14ac:dyDescent="0.3">
      <c r="A214" s="2" t="str">
        <f t="shared" si="3"/>
        <v/>
      </c>
    </row>
    <row r="215" spans="1:1" hidden="1" x14ac:dyDescent="0.3">
      <c r="A215" s="2" t="str">
        <f t="shared" si="3"/>
        <v/>
      </c>
    </row>
    <row r="216" spans="1:1" hidden="1" x14ac:dyDescent="0.3">
      <c r="A216" s="2" t="str">
        <f t="shared" si="3"/>
        <v/>
      </c>
    </row>
    <row r="217" spans="1:1" hidden="1" x14ac:dyDescent="0.3">
      <c r="A217" s="2" t="str">
        <f t="shared" si="3"/>
        <v/>
      </c>
    </row>
    <row r="218" spans="1:1" hidden="1" x14ac:dyDescent="0.3">
      <c r="A218" s="2" t="str">
        <f t="shared" si="3"/>
        <v/>
      </c>
    </row>
    <row r="219" spans="1:1" hidden="1" x14ac:dyDescent="0.3">
      <c r="A219" s="2" t="str">
        <f t="shared" si="3"/>
        <v/>
      </c>
    </row>
    <row r="220" spans="1:1" hidden="1" x14ac:dyDescent="0.3">
      <c r="A220" s="2" t="str">
        <f t="shared" si="3"/>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oalseek">
                <anchor moveWithCells="1" sizeWithCells="1">
                  <from>
                    <xdr:col>7</xdr:col>
                    <xdr:colOff>30480</xdr:colOff>
                    <xdr:row>4</xdr:row>
                    <xdr:rowOff>22860</xdr:rowOff>
                  </from>
                  <to>
                    <xdr:col>8</xdr:col>
                    <xdr:colOff>594360</xdr:colOff>
                    <xdr:row>7</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027B0-FAE8-48E2-AC1D-007918600DCD}">
  <sheetPr codeName="Sheet6"/>
  <dimension ref="A1:O34"/>
  <sheetViews>
    <sheetView showGridLines="0" zoomScale="85" zoomScaleNormal="85" workbookViewId="0">
      <selection activeCell="A24" sqref="A24:XFD1048576"/>
    </sheetView>
  </sheetViews>
  <sheetFormatPr defaultColWidth="0" defaultRowHeight="14.4" zeroHeight="1" x14ac:dyDescent="0.3"/>
  <cols>
    <col min="1" max="1" width="26.33203125" bestFit="1" customWidth="1"/>
    <col min="2" max="8" width="9.109375" customWidth="1"/>
    <col min="9" max="9" width="10.6640625" customWidth="1"/>
    <col min="10" max="15" width="9.109375" customWidth="1"/>
    <col min="16" max="16384" width="9.109375" hidden="1"/>
  </cols>
  <sheetData>
    <row r="1" spans="1:14" x14ac:dyDescent="0.3">
      <c r="A1" t="s">
        <v>64</v>
      </c>
      <c r="B1" s="30"/>
      <c r="C1" s="1" t="s">
        <v>62</v>
      </c>
      <c r="G1" s="8">
        <f>IF(B1="",'Break Even output'!I3,'Sensitivity analysis'!B1)</f>
        <v>2.41</v>
      </c>
      <c r="H1" s="83" t="s">
        <v>59</v>
      </c>
      <c r="I1" s="83"/>
    </row>
    <row r="2" spans="1:14" x14ac:dyDescent="0.3">
      <c r="A2" t="s">
        <v>63</v>
      </c>
      <c r="B2" s="30"/>
      <c r="C2" s="1" t="s">
        <v>62</v>
      </c>
      <c r="G2" s="31" t="str">
        <f>IF(B2="",Inputs!D10,'Sensitivity analysis'!B2)</f>
        <v>Mar</v>
      </c>
      <c r="H2" s="83" t="s">
        <v>60</v>
      </c>
      <c r="I2" s="83"/>
      <c r="J2" s="29"/>
      <c r="K2" s="29"/>
      <c r="L2" s="29"/>
    </row>
    <row r="3" spans="1:14" s="2" customFormat="1" x14ac:dyDescent="0.3">
      <c r="A3" s="2" t="s">
        <v>61</v>
      </c>
      <c r="B3" s="2">
        <f>sum_inj_liq</f>
        <v>0</v>
      </c>
      <c r="I3" s="29"/>
      <c r="J3" s="29"/>
      <c r="K3" s="29"/>
      <c r="L3" s="29"/>
    </row>
    <row r="4" spans="1:14" x14ac:dyDescent="0.3">
      <c r="C4" t="s">
        <v>60</v>
      </c>
    </row>
    <row r="5" spans="1:14" x14ac:dyDescent="0.3">
      <c r="B5" s="1">
        <f>B3</f>
        <v>0</v>
      </c>
      <c r="C5" s="29" t="str" cm="1">
        <f t="array" ref="C5:N5">TRANSPOSE(Month)</f>
        <v>Jan</v>
      </c>
      <c r="D5" s="29" t="str">
        <v>Feb</v>
      </c>
      <c r="E5" s="29" t="str">
        <v>Mar</v>
      </c>
      <c r="F5" s="29" t="str">
        <v>Apr</v>
      </c>
      <c r="G5" s="29" t="str">
        <v>May</v>
      </c>
      <c r="H5" s="29" t="str">
        <v>Jun</v>
      </c>
      <c r="I5" s="29" t="str">
        <v>Jul</v>
      </c>
      <c r="J5" s="29" t="str">
        <v>Aug</v>
      </c>
      <c r="K5" s="29" t="str">
        <v>Sep</v>
      </c>
      <c r="L5" s="29" t="str">
        <v>Oct</v>
      </c>
      <c r="M5" s="29" t="str">
        <v>Nov</v>
      </c>
      <c r="N5" s="29" t="str">
        <v>Dec</v>
      </c>
    </row>
    <row r="6" spans="1:14" x14ac:dyDescent="0.3">
      <c r="A6" t="s">
        <v>59</v>
      </c>
      <c r="B6" s="29">
        <v>0</v>
      </c>
      <c r="C6">
        <f t="dataTable" ref="C6:N21" dt2D="1" dtr="1" r1="B2" r2="B1"/>
        <v>4000</v>
      </c>
      <c r="D6">
        <v>4000</v>
      </c>
      <c r="E6">
        <v>4000</v>
      </c>
      <c r="F6">
        <v>4000</v>
      </c>
      <c r="G6">
        <v>3000</v>
      </c>
      <c r="H6">
        <v>3000</v>
      </c>
      <c r="I6">
        <v>3000</v>
      </c>
      <c r="J6">
        <v>3000</v>
      </c>
      <c r="K6">
        <v>3000</v>
      </c>
      <c r="L6">
        <v>3000</v>
      </c>
      <c r="M6">
        <v>3000</v>
      </c>
      <c r="N6">
        <v>3000</v>
      </c>
    </row>
    <row r="7" spans="1:14" x14ac:dyDescent="0.3">
      <c r="B7" s="29">
        <v>0.1</v>
      </c>
      <c r="C7">
        <v>3000</v>
      </c>
      <c r="D7">
        <v>3000</v>
      </c>
      <c r="E7">
        <v>3000</v>
      </c>
      <c r="F7">
        <v>3000</v>
      </c>
      <c r="G7">
        <v>3000</v>
      </c>
      <c r="H7">
        <v>3000</v>
      </c>
      <c r="I7">
        <v>3000</v>
      </c>
      <c r="J7">
        <v>3000</v>
      </c>
      <c r="K7">
        <v>3000</v>
      </c>
      <c r="L7">
        <v>3000</v>
      </c>
      <c r="M7">
        <v>3000</v>
      </c>
      <c r="N7">
        <v>3000</v>
      </c>
    </row>
    <row r="8" spans="1:14" x14ac:dyDescent="0.3">
      <c r="B8" s="29">
        <v>0.2</v>
      </c>
      <c r="C8">
        <v>3000</v>
      </c>
      <c r="D8">
        <v>3000</v>
      </c>
      <c r="E8">
        <v>3000</v>
      </c>
      <c r="F8">
        <v>3000</v>
      </c>
      <c r="G8">
        <v>2000</v>
      </c>
      <c r="H8">
        <v>2000</v>
      </c>
      <c r="I8">
        <v>2000</v>
      </c>
      <c r="J8">
        <v>2000</v>
      </c>
      <c r="K8">
        <v>2000</v>
      </c>
      <c r="L8">
        <v>2000</v>
      </c>
      <c r="M8">
        <v>2000</v>
      </c>
      <c r="N8">
        <v>2000</v>
      </c>
    </row>
    <row r="9" spans="1:14" x14ac:dyDescent="0.3">
      <c r="B9" s="29">
        <v>0.3</v>
      </c>
      <c r="C9">
        <v>3000</v>
      </c>
      <c r="D9">
        <v>3000</v>
      </c>
      <c r="E9">
        <v>3000</v>
      </c>
      <c r="F9">
        <v>3000</v>
      </c>
      <c r="G9">
        <v>2000</v>
      </c>
      <c r="H9">
        <v>2000</v>
      </c>
      <c r="I9">
        <v>2000</v>
      </c>
      <c r="J9">
        <v>2000</v>
      </c>
      <c r="K9">
        <v>2000</v>
      </c>
      <c r="L9">
        <v>2000</v>
      </c>
      <c r="M9">
        <v>2000</v>
      </c>
      <c r="N9">
        <v>2000</v>
      </c>
    </row>
    <row r="10" spans="1:14" x14ac:dyDescent="0.3">
      <c r="B10" s="29">
        <v>0.4</v>
      </c>
      <c r="C10">
        <v>3000</v>
      </c>
      <c r="D10">
        <v>3000</v>
      </c>
      <c r="E10">
        <v>3000</v>
      </c>
      <c r="F10">
        <v>3000</v>
      </c>
      <c r="G10">
        <v>2000</v>
      </c>
      <c r="H10">
        <v>2000</v>
      </c>
      <c r="I10">
        <v>2000</v>
      </c>
      <c r="J10">
        <v>2000</v>
      </c>
      <c r="K10">
        <v>2000</v>
      </c>
      <c r="L10">
        <v>2000</v>
      </c>
      <c r="M10">
        <v>2000</v>
      </c>
      <c r="N10">
        <v>2000</v>
      </c>
    </row>
    <row r="11" spans="1:14" x14ac:dyDescent="0.3">
      <c r="B11" s="29">
        <v>0.5</v>
      </c>
      <c r="C11">
        <v>2000</v>
      </c>
      <c r="D11">
        <v>2000</v>
      </c>
      <c r="E11">
        <v>2000</v>
      </c>
      <c r="F11">
        <v>2000</v>
      </c>
      <c r="G11">
        <v>2000</v>
      </c>
      <c r="H11">
        <v>2000</v>
      </c>
      <c r="I11">
        <v>2000</v>
      </c>
      <c r="J11">
        <v>2000</v>
      </c>
      <c r="K11">
        <v>2000</v>
      </c>
      <c r="L11">
        <v>2000</v>
      </c>
      <c r="M11">
        <v>2000</v>
      </c>
      <c r="N11">
        <v>2000</v>
      </c>
    </row>
    <row r="12" spans="1:14" x14ac:dyDescent="0.3">
      <c r="B12" s="29">
        <v>0.6</v>
      </c>
      <c r="C12">
        <v>2000</v>
      </c>
      <c r="D12">
        <v>2000</v>
      </c>
      <c r="E12">
        <v>2000</v>
      </c>
      <c r="F12">
        <v>2000</v>
      </c>
      <c r="G12">
        <v>1000</v>
      </c>
      <c r="H12">
        <v>1000</v>
      </c>
      <c r="I12">
        <v>1000</v>
      </c>
      <c r="J12">
        <v>1000</v>
      </c>
      <c r="K12">
        <v>1000</v>
      </c>
      <c r="L12">
        <v>1000</v>
      </c>
      <c r="M12">
        <v>1000</v>
      </c>
      <c r="N12">
        <v>1000</v>
      </c>
    </row>
    <row r="13" spans="1:14" x14ac:dyDescent="0.3">
      <c r="B13" s="29">
        <v>0.7</v>
      </c>
      <c r="C13">
        <v>2000</v>
      </c>
      <c r="D13">
        <v>2000</v>
      </c>
      <c r="E13">
        <v>2000</v>
      </c>
      <c r="F13">
        <v>2000</v>
      </c>
      <c r="G13">
        <v>1000</v>
      </c>
      <c r="H13">
        <v>1000</v>
      </c>
      <c r="I13">
        <v>1000</v>
      </c>
      <c r="J13">
        <v>1000</v>
      </c>
      <c r="K13">
        <v>1000</v>
      </c>
      <c r="L13">
        <v>1000</v>
      </c>
      <c r="M13">
        <v>1000</v>
      </c>
      <c r="N13">
        <v>1000</v>
      </c>
    </row>
    <row r="14" spans="1:14" x14ac:dyDescent="0.3">
      <c r="B14" s="29">
        <v>0.8</v>
      </c>
      <c r="C14">
        <v>2000</v>
      </c>
      <c r="D14">
        <v>2000</v>
      </c>
      <c r="E14">
        <v>2000</v>
      </c>
      <c r="F14">
        <v>2000</v>
      </c>
      <c r="G14">
        <v>1000</v>
      </c>
      <c r="H14">
        <v>1000</v>
      </c>
      <c r="I14">
        <v>1000</v>
      </c>
      <c r="J14">
        <v>1000</v>
      </c>
      <c r="K14">
        <v>1000</v>
      </c>
      <c r="L14">
        <v>1000</v>
      </c>
      <c r="M14">
        <v>1000</v>
      </c>
      <c r="N14">
        <v>1000</v>
      </c>
    </row>
    <row r="15" spans="1:14" x14ac:dyDescent="0.3">
      <c r="B15" s="29">
        <v>0.9</v>
      </c>
      <c r="C15">
        <v>1000</v>
      </c>
      <c r="D15">
        <v>1000</v>
      </c>
      <c r="E15">
        <v>1000</v>
      </c>
      <c r="F15">
        <v>1000</v>
      </c>
      <c r="G15">
        <v>1000</v>
      </c>
      <c r="H15">
        <v>1000</v>
      </c>
      <c r="I15">
        <v>1000</v>
      </c>
      <c r="J15">
        <v>1000</v>
      </c>
      <c r="K15">
        <v>1000</v>
      </c>
      <c r="L15">
        <v>1000</v>
      </c>
      <c r="M15">
        <v>1000</v>
      </c>
      <c r="N15">
        <v>1000</v>
      </c>
    </row>
    <row r="16" spans="1:14" x14ac:dyDescent="0.3">
      <c r="B16" s="29">
        <v>1</v>
      </c>
      <c r="C16">
        <v>1000</v>
      </c>
      <c r="D16">
        <v>1000</v>
      </c>
      <c r="E16">
        <v>1000</v>
      </c>
      <c r="F16">
        <v>1000</v>
      </c>
      <c r="G16">
        <v>1000</v>
      </c>
      <c r="H16">
        <v>1000</v>
      </c>
      <c r="I16">
        <v>1000</v>
      </c>
      <c r="J16">
        <v>1000</v>
      </c>
      <c r="K16">
        <v>1000</v>
      </c>
      <c r="L16">
        <v>1000</v>
      </c>
      <c r="M16">
        <v>1000</v>
      </c>
      <c r="N16">
        <v>1000</v>
      </c>
    </row>
    <row r="17" spans="1:14" x14ac:dyDescent="0.3">
      <c r="B17" s="29">
        <v>1.1000000000000001</v>
      </c>
      <c r="C17">
        <v>1000</v>
      </c>
      <c r="D17">
        <v>1000</v>
      </c>
      <c r="E17">
        <v>1000</v>
      </c>
      <c r="F17">
        <v>1000</v>
      </c>
      <c r="G17">
        <v>0</v>
      </c>
      <c r="H17">
        <v>0</v>
      </c>
      <c r="I17">
        <v>0</v>
      </c>
      <c r="J17">
        <v>0</v>
      </c>
      <c r="K17">
        <v>0</v>
      </c>
      <c r="L17">
        <v>0</v>
      </c>
      <c r="M17">
        <v>0</v>
      </c>
      <c r="N17">
        <v>0</v>
      </c>
    </row>
    <row r="18" spans="1:14" x14ac:dyDescent="0.3">
      <c r="B18" s="29">
        <v>1.2</v>
      </c>
      <c r="C18">
        <v>1000</v>
      </c>
      <c r="D18">
        <v>1000</v>
      </c>
      <c r="E18">
        <v>1000</v>
      </c>
      <c r="F18">
        <v>1000</v>
      </c>
      <c r="G18">
        <v>0</v>
      </c>
      <c r="H18">
        <v>0</v>
      </c>
      <c r="I18">
        <v>0</v>
      </c>
      <c r="J18">
        <v>0</v>
      </c>
      <c r="K18">
        <v>0</v>
      </c>
      <c r="L18">
        <v>0</v>
      </c>
      <c r="M18">
        <v>0</v>
      </c>
      <c r="N18">
        <v>0</v>
      </c>
    </row>
    <row r="19" spans="1:14" x14ac:dyDescent="0.3">
      <c r="B19" s="29">
        <v>1.3</v>
      </c>
      <c r="C19">
        <v>1000</v>
      </c>
      <c r="D19">
        <v>1000</v>
      </c>
      <c r="E19">
        <v>1000</v>
      </c>
      <c r="F19">
        <v>1000</v>
      </c>
      <c r="G19">
        <v>0</v>
      </c>
      <c r="H19">
        <v>0</v>
      </c>
      <c r="I19">
        <v>0</v>
      </c>
      <c r="J19">
        <v>0</v>
      </c>
      <c r="K19">
        <v>0</v>
      </c>
      <c r="L19">
        <v>0</v>
      </c>
      <c r="M19">
        <v>0</v>
      </c>
      <c r="N19">
        <v>0</v>
      </c>
    </row>
    <row r="20" spans="1:14" x14ac:dyDescent="0.3">
      <c r="B20" s="29">
        <v>1.4</v>
      </c>
      <c r="C20">
        <v>1000</v>
      </c>
      <c r="D20">
        <v>1000</v>
      </c>
      <c r="E20">
        <v>1000</v>
      </c>
      <c r="F20">
        <v>0</v>
      </c>
      <c r="G20">
        <v>0</v>
      </c>
      <c r="H20">
        <v>0</v>
      </c>
      <c r="I20">
        <v>0</v>
      </c>
      <c r="J20">
        <v>0</v>
      </c>
      <c r="K20">
        <v>0</v>
      </c>
      <c r="L20">
        <v>0</v>
      </c>
      <c r="M20">
        <v>0</v>
      </c>
      <c r="N20">
        <v>0</v>
      </c>
    </row>
    <row r="21" spans="1:14" x14ac:dyDescent="0.3">
      <c r="B21" s="29">
        <v>1.5</v>
      </c>
      <c r="C21">
        <v>0</v>
      </c>
      <c r="D21">
        <v>0</v>
      </c>
      <c r="E21">
        <v>0</v>
      </c>
      <c r="F21">
        <v>0</v>
      </c>
      <c r="G21">
        <v>0</v>
      </c>
      <c r="H21">
        <v>0</v>
      </c>
      <c r="I21">
        <v>0</v>
      </c>
      <c r="J21">
        <v>0</v>
      </c>
      <c r="K21">
        <v>0</v>
      </c>
      <c r="L21">
        <v>0</v>
      </c>
      <c r="M21">
        <v>0</v>
      </c>
      <c r="N21">
        <v>0</v>
      </c>
    </row>
    <row r="22" spans="1:14" x14ac:dyDescent="0.3"/>
    <row r="23" spans="1:14" x14ac:dyDescent="0.3"/>
    <row r="24" spans="1:14" ht="15" hidden="1" customHeight="1" x14ac:dyDescent="0.3">
      <c r="A24" s="1"/>
      <c r="B24" s="81"/>
      <c r="C24" s="81"/>
      <c r="D24" s="81"/>
      <c r="E24" s="81"/>
      <c r="F24" s="81"/>
      <c r="G24" s="81"/>
      <c r="H24" s="81"/>
      <c r="I24" s="81"/>
      <c r="J24" s="81"/>
      <c r="K24" s="81"/>
      <c r="L24" s="81"/>
      <c r="M24" s="81"/>
      <c r="N24" s="81"/>
    </row>
    <row r="25" spans="1:14" hidden="1" x14ac:dyDescent="0.3">
      <c r="B25" s="81"/>
      <c r="C25" s="81"/>
      <c r="D25" s="81"/>
      <c r="E25" s="81"/>
      <c r="F25" s="81"/>
      <c r="G25" s="81"/>
      <c r="H25" s="81"/>
      <c r="I25" s="81"/>
      <c r="J25" s="81"/>
      <c r="K25" s="81"/>
      <c r="L25" s="81"/>
      <c r="M25" s="81"/>
      <c r="N25" s="81"/>
    </row>
    <row r="26" spans="1:14" hidden="1" x14ac:dyDescent="0.3">
      <c r="B26" s="81"/>
      <c r="C26" s="81"/>
      <c r="D26" s="81"/>
      <c r="E26" s="81"/>
      <c r="F26" s="81"/>
      <c r="G26" s="81"/>
      <c r="H26" s="81"/>
      <c r="I26" s="81"/>
      <c r="J26" s="81"/>
      <c r="K26" s="81"/>
      <c r="L26" s="81"/>
      <c r="M26" s="81"/>
      <c r="N26" s="81"/>
    </row>
    <row r="27" spans="1:14" hidden="1" x14ac:dyDescent="0.3">
      <c r="B27" s="81"/>
      <c r="C27" s="81"/>
      <c r="D27" s="81"/>
      <c r="E27" s="81"/>
      <c r="F27" s="81"/>
      <c r="G27" s="81"/>
      <c r="H27" s="81"/>
      <c r="I27" s="81"/>
      <c r="J27" s="81"/>
      <c r="K27" s="81"/>
      <c r="L27" s="81"/>
      <c r="M27" s="81"/>
      <c r="N27" s="81"/>
    </row>
    <row r="28" spans="1:14" hidden="1" x14ac:dyDescent="0.3">
      <c r="B28" s="81"/>
      <c r="C28" s="81"/>
      <c r="D28" s="81"/>
      <c r="E28" s="81"/>
      <c r="F28" s="81"/>
      <c r="G28" s="81"/>
      <c r="H28" s="81"/>
      <c r="I28" s="81"/>
      <c r="J28" s="81"/>
      <c r="K28" s="81"/>
      <c r="L28" s="81"/>
      <c r="M28" s="81"/>
      <c r="N28" s="81"/>
    </row>
    <row r="29" spans="1:14" hidden="1" x14ac:dyDescent="0.3">
      <c r="B29" s="81"/>
      <c r="C29" s="81"/>
      <c r="D29" s="81"/>
      <c r="E29" s="81"/>
      <c r="F29" s="81"/>
      <c r="G29" s="81"/>
      <c r="H29" s="81"/>
      <c r="I29" s="81"/>
      <c r="J29" s="81"/>
      <c r="K29" s="81"/>
      <c r="L29" s="81"/>
      <c r="M29" s="81"/>
      <c r="N29" s="81"/>
    </row>
    <row r="30" spans="1:14" hidden="1" x14ac:dyDescent="0.3">
      <c r="B30" s="81"/>
      <c r="C30" s="81"/>
      <c r="D30" s="81"/>
      <c r="E30" s="81"/>
      <c r="F30" s="81"/>
      <c r="G30" s="81"/>
      <c r="H30" s="81"/>
      <c r="I30" s="81"/>
      <c r="J30" s="81"/>
      <c r="K30" s="81"/>
      <c r="L30" s="81"/>
      <c r="M30" s="81"/>
      <c r="N30" s="81"/>
    </row>
    <row r="31" spans="1:14" hidden="1" x14ac:dyDescent="0.3">
      <c r="B31" s="81"/>
      <c r="C31" s="81"/>
      <c r="D31" s="81"/>
      <c r="E31" s="81"/>
      <c r="F31" s="81"/>
      <c r="G31" s="81"/>
      <c r="H31" s="81"/>
      <c r="I31" s="81"/>
      <c r="J31" s="81"/>
      <c r="K31" s="81"/>
      <c r="L31" s="81"/>
      <c r="M31" s="81"/>
      <c r="N31" s="81"/>
    </row>
    <row r="32" spans="1:14" hidden="1" x14ac:dyDescent="0.3">
      <c r="B32" s="81"/>
      <c r="C32" s="81"/>
      <c r="D32" s="81"/>
      <c r="E32" s="81"/>
      <c r="F32" s="81"/>
      <c r="G32" s="81"/>
      <c r="H32" s="81"/>
      <c r="I32" s="81"/>
      <c r="J32" s="81"/>
      <c r="K32" s="81"/>
      <c r="L32" s="81"/>
      <c r="M32" s="81"/>
      <c r="N32" s="81"/>
    </row>
    <row r="33" spans="2:14" hidden="1" x14ac:dyDescent="0.3">
      <c r="B33" s="81"/>
      <c r="C33" s="81"/>
      <c r="D33" s="81"/>
      <c r="E33" s="81"/>
      <c r="F33" s="81"/>
      <c r="G33" s="81"/>
      <c r="H33" s="81"/>
      <c r="I33" s="81"/>
      <c r="J33" s="81"/>
      <c r="K33" s="81"/>
      <c r="L33" s="81"/>
      <c r="M33" s="81"/>
      <c r="N33" s="81"/>
    </row>
    <row r="34" spans="2:14" hidden="1" x14ac:dyDescent="0.3">
      <c r="B34" s="81"/>
      <c r="C34" s="81"/>
      <c r="D34" s="81"/>
      <c r="E34" s="81"/>
      <c r="F34" s="81"/>
      <c r="G34" s="81"/>
      <c r="H34" s="81"/>
      <c r="I34" s="81"/>
      <c r="J34" s="81"/>
      <c r="K34" s="81"/>
      <c r="L34" s="81"/>
      <c r="M34" s="81"/>
      <c r="N34" s="81"/>
    </row>
  </sheetData>
  <mergeCells count="3">
    <mergeCell ref="H2:I2"/>
    <mergeCell ref="H1:I1"/>
    <mergeCell ref="B24:N34"/>
  </mergeCells>
  <conditionalFormatting sqref="C6:N21">
    <cfRule type="colorScale" priority="1">
      <colorScale>
        <cfvo type="min"/>
        <cfvo type="max"/>
        <color rgb="FFFCFCFF"/>
        <color rgb="FFF8696B"/>
      </colorScale>
    </cfRule>
  </conditionalFormatting>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8E4CA-6E25-4616-913C-C003CE1322B5}">
  <sheetPr codeName="Sheet7">
    <outlinePr summaryBelow="0"/>
  </sheetPr>
  <dimension ref="A1:I33"/>
  <sheetViews>
    <sheetView showGridLines="0" zoomScale="85" zoomScaleNormal="85" workbookViewId="0">
      <selection activeCell="A34" sqref="A34:XFD1048576"/>
    </sheetView>
  </sheetViews>
  <sheetFormatPr defaultColWidth="0" defaultRowHeight="14.4" zeroHeight="1" outlineLevelRow="1" outlineLevelCol="1" x14ac:dyDescent="0.3"/>
  <cols>
    <col min="1" max="2" width="9.109375" customWidth="1"/>
    <col min="3" max="3" width="18.109375" bestFit="1" customWidth="1"/>
    <col min="4" max="4" width="18.5546875" bestFit="1" customWidth="1" outlineLevel="1"/>
    <col min="5" max="5" width="18.5546875" customWidth="1" outlineLevel="1"/>
    <col min="6" max="6" width="19.33203125" bestFit="1" customWidth="1" outlineLevel="1"/>
    <col min="7" max="7" width="18.5546875" customWidth="1" outlineLevel="1"/>
    <col min="8" max="9" width="9.109375" customWidth="1"/>
    <col min="10" max="16384" width="9.109375" hidden="1"/>
  </cols>
  <sheetData>
    <row r="1" spans="2:7" ht="15" thickBot="1" x14ac:dyDescent="0.35"/>
    <row r="2" spans="2:7" ht="15.6" x14ac:dyDescent="0.3">
      <c r="B2" s="40" t="s">
        <v>74</v>
      </c>
      <c r="C2" s="40"/>
      <c r="D2" s="45"/>
      <c r="E2" s="45"/>
      <c r="F2" s="45"/>
      <c r="G2" s="45"/>
    </row>
    <row r="3" spans="2:7" ht="15.6" collapsed="1" x14ac:dyDescent="0.3">
      <c r="B3" s="39"/>
      <c r="C3" s="39"/>
      <c r="D3" s="46" t="s">
        <v>76</v>
      </c>
      <c r="E3" s="54" t="s">
        <v>86</v>
      </c>
      <c r="F3" s="54" t="s">
        <v>87</v>
      </c>
      <c r="G3" s="54" t="s">
        <v>88</v>
      </c>
    </row>
    <row r="4" spans="2:7" ht="20.399999999999999" hidden="1" outlineLevel="1" x14ac:dyDescent="0.3">
      <c r="B4" s="42"/>
      <c r="C4" s="42"/>
      <c r="D4" s="38"/>
      <c r="E4" s="47" t="s">
        <v>83</v>
      </c>
      <c r="F4" s="47" t="s">
        <v>83</v>
      </c>
      <c r="G4" s="47" t="s">
        <v>83</v>
      </c>
    </row>
    <row r="5" spans="2:7" x14ac:dyDescent="0.3">
      <c r="B5" s="43" t="s">
        <v>75</v>
      </c>
      <c r="C5" s="43"/>
      <c r="D5" s="41"/>
      <c r="E5" s="41"/>
      <c r="F5" s="41"/>
      <c r="G5" s="41"/>
    </row>
    <row r="6" spans="2:7" outlineLevel="1" x14ac:dyDescent="0.3">
      <c r="B6" s="42"/>
      <c r="C6" s="42" t="s">
        <v>79</v>
      </c>
      <c r="D6" s="55" t="s">
        <v>21</v>
      </c>
      <c r="E6" s="56" t="s">
        <v>1</v>
      </c>
      <c r="F6" s="55" t="s">
        <v>21</v>
      </c>
      <c r="G6" s="55" t="s">
        <v>21</v>
      </c>
    </row>
    <row r="7" spans="2:7" outlineLevel="1" x14ac:dyDescent="0.3">
      <c r="B7" s="42"/>
      <c r="C7" s="42" t="s">
        <v>71</v>
      </c>
      <c r="D7" s="55" t="s">
        <v>1</v>
      </c>
      <c r="E7" s="56" t="s">
        <v>23</v>
      </c>
      <c r="F7" s="56" t="s">
        <v>24</v>
      </c>
      <c r="G7" s="56" t="s">
        <v>29</v>
      </c>
    </row>
    <row r="8" spans="2:7" outlineLevel="1" x14ac:dyDescent="0.3">
      <c r="B8" s="42"/>
      <c r="C8" s="42" t="s">
        <v>72</v>
      </c>
      <c r="D8" s="55" t="s">
        <v>19</v>
      </c>
      <c r="E8" s="56" t="s">
        <v>19</v>
      </c>
      <c r="F8" s="56" t="s">
        <v>19</v>
      </c>
      <c r="G8" s="56" t="s">
        <v>19</v>
      </c>
    </row>
    <row r="9" spans="2:7" outlineLevel="1" x14ac:dyDescent="0.3">
      <c r="B9" s="42"/>
      <c r="C9" s="42" t="s">
        <v>73</v>
      </c>
      <c r="D9" s="55" t="s">
        <v>22</v>
      </c>
      <c r="E9" s="56" t="s">
        <v>1</v>
      </c>
      <c r="F9" s="56" t="s">
        <v>23</v>
      </c>
      <c r="G9" s="56" t="s">
        <v>28</v>
      </c>
    </row>
    <row r="10" spans="2:7" outlineLevel="1" x14ac:dyDescent="0.3">
      <c r="B10" s="42"/>
      <c r="C10" s="42" t="s">
        <v>84</v>
      </c>
      <c r="D10" s="55" t="s">
        <v>21</v>
      </c>
      <c r="E10" s="55" t="s">
        <v>21</v>
      </c>
      <c r="F10" s="56" t="s">
        <v>1</v>
      </c>
      <c r="G10" s="55" t="s">
        <v>21</v>
      </c>
    </row>
    <row r="11" spans="2:7" outlineLevel="1" x14ac:dyDescent="0.3">
      <c r="B11" s="42"/>
      <c r="C11" s="42" t="s">
        <v>82</v>
      </c>
      <c r="D11" s="55">
        <v>-200</v>
      </c>
      <c r="E11" s="55">
        <v>-200</v>
      </c>
      <c r="F11" s="56">
        <v>-300</v>
      </c>
      <c r="G11" s="55">
        <v>-200</v>
      </c>
    </row>
    <row r="12" spans="2:7" outlineLevel="1" x14ac:dyDescent="0.3">
      <c r="B12" s="42"/>
      <c r="C12" s="42" t="s">
        <v>80</v>
      </c>
      <c r="D12" s="55">
        <v>-300</v>
      </c>
      <c r="E12" s="55">
        <v>-300</v>
      </c>
      <c r="F12" s="56">
        <v>-250</v>
      </c>
      <c r="G12" s="56">
        <v>-500</v>
      </c>
    </row>
    <row r="13" spans="2:7" outlineLevel="1" x14ac:dyDescent="0.3">
      <c r="B13" s="42"/>
      <c r="C13" s="42" t="s">
        <v>81</v>
      </c>
      <c r="D13" s="55">
        <v>-440</v>
      </c>
      <c r="E13" s="55">
        <v>-440</v>
      </c>
      <c r="F13" s="56">
        <v>-380</v>
      </c>
      <c r="G13" s="55">
        <v>-440</v>
      </c>
    </row>
    <row r="14" spans="2:7" x14ac:dyDescent="0.3">
      <c r="B14" s="43" t="s">
        <v>77</v>
      </c>
      <c r="C14" s="43"/>
      <c r="D14" s="41"/>
      <c r="E14" s="41"/>
      <c r="F14" s="41"/>
      <c r="G14" s="41"/>
    </row>
    <row r="15" spans="2:7" ht="15" outlineLevel="1" thickBot="1" x14ac:dyDescent="0.35">
      <c r="B15" s="44"/>
      <c r="C15" s="44" t="s">
        <v>85</v>
      </c>
      <c r="D15" s="57">
        <v>4000</v>
      </c>
      <c r="E15" s="57">
        <v>4000</v>
      </c>
      <c r="F15" s="57">
        <v>3000</v>
      </c>
      <c r="G15" s="57">
        <v>3000</v>
      </c>
    </row>
    <row r="16" spans="2:7" x14ac:dyDescent="0.3"/>
    <row r="17" spans="2:7" ht="15" customHeight="1" x14ac:dyDescent="0.3">
      <c r="B17" s="81" t="s">
        <v>89</v>
      </c>
      <c r="C17" s="81"/>
      <c r="D17" s="81"/>
      <c r="E17" s="81"/>
      <c r="F17" s="81"/>
      <c r="G17" s="81"/>
    </row>
    <row r="18" spans="2:7" x14ac:dyDescent="0.3">
      <c r="B18" s="81"/>
      <c r="C18" s="81"/>
      <c r="D18" s="81"/>
      <c r="E18" s="81"/>
      <c r="F18" s="81"/>
      <c r="G18" s="81"/>
    </row>
    <row r="19" spans="2:7" x14ac:dyDescent="0.3">
      <c r="B19" s="81"/>
      <c r="C19" s="81"/>
      <c r="D19" s="81"/>
      <c r="E19" s="81"/>
      <c r="F19" s="81"/>
      <c r="G19" s="81"/>
    </row>
    <row r="20" spans="2:7" x14ac:dyDescent="0.3">
      <c r="B20" s="81"/>
      <c r="C20" s="81"/>
      <c r="D20" s="81"/>
      <c r="E20" s="81"/>
      <c r="F20" s="81"/>
      <c r="G20" s="81"/>
    </row>
    <row r="21" spans="2:7" x14ac:dyDescent="0.3">
      <c r="B21" s="81"/>
      <c r="C21" s="81"/>
      <c r="D21" s="81"/>
      <c r="E21" s="81"/>
      <c r="F21" s="81"/>
      <c r="G21" s="81"/>
    </row>
    <row r="22" spans="2:7" x14ac:dyDescent="0.3">
      <c r="B22" s="81"/>
      <c r="C22" s="81"/>
      <c r="D22" s="81"/>
      <c r="E22" s="81"/>
      <c r="F22" s="81"/>
      <c r="G22" s="81"/>
    </row>
    <row r="23" spans="2:7" x14ac:dyDescent="0.3">
      <c r="B23" s="81"/>
      <c r="C23" s="81"/>
      <c r="D23" s="81"/>
      <c r="E23" s="81"/>
      <c r="F23" s="81"/>
      <c r="G23" s="81"/>
    </row>
    <row r="24" spans="2:7" x14ac:dyDescent="0.3">
      <c r="B24" s="81"/>
      <c r="C24" s="81"/>
      <c r="D24" s="81"/>
      <c r="E24" s="81"/>
      <c r="F24" s="81"/>
      <c r="G24" s="81"/>
    </row>
    <row r="25" spans="2:7" x14ac:dyDescent="0.3">
      <c r="B25" s="81"/>
      <c r="C25" s="81"/>
      <c r="D25" s="81"/>
      <c r="E25" s="81"/>
      <c r="F25" s="81"/>
      <c r="G25" s="81"/>
    </row>
    <row r="26" spans="2:7" x14ac:dyDescent="0.3">
      <c r="B26" s="81"/>
      <c r="C26" s="81"/>
      <c r="D26" s="81"/>
      <c r="E26" s="81"/>
      <c r="F26" s="81"/>
      <c r="G26" s="81"/>
    </row>
    <row r="27" spans="2:7" x14ac:dyDescent="0.3">
      <c r="B27" s="81"/>
      <c r="C27" s="81"/>
      <c r="D27" s="81"/>
      <c r="E27" s="81"/>
      <c r="F27" s="81"/>
      <c r="G27" s="81"/>
    </row>
    <row r="28" spans="2:7" x14ac:dyDescent="0.3">
      <c r="B28" s="81"/>
      <c r="C28" s="81"/>
      <c r="D28" s="81"/>
      <c r="E28" s="81"/>
      <c r="F28" s="81"/>
      <c r="G28" s="81"/>
    </row>
    <row r="29" spans="2:7" x14ac:dyDescent="0.3">
      <c r="B29" s="81"/>
      <c r="C29" s="81"/>
      <c r="D29" s="81"/>
      <c r="E29" s="81"/>
      <c r="F29" s="81"/>
      <c r="G29" s="81"/>
    </row>
    <row r="30" spans="2:7" x14ac:dyDescent="0.3">
      <c r="B30" s="81"/>
      <c r="C30" s="81"/>
      <c r="D30" s="81"/>
      <c r="E30" s="81"/>
      <c r="F30" s="81"/>
      <c r="G30" s="81"/>
    </row>
    <row r="31" spans="2:7" x14ac:dyDescent="0.3">
      <c r="B31" s="81"/>
      <c r="C31" s="81"/>
      <c r="D31" s="81"/>
      <c r="E31" s="81"/>
      <c r="F31" s="81"/>
      <c r="G31" s="81"/>
    </row>
    <row r="32" spans="2:7" x14ac:dyDescent="0.3">
      <c r="B32" s="81"/>
      <c r="C32" s="81"/>
      <c r="D32" s="81"/>
      <c r="E32" s="81"/>
      <c r="F32" s="81"/>
      <c r="G32" s="81"/>
    </row>
    <row r="33" spans="2:7" x14ac:dyDescent="0.3">
      <c r="B33" s="81"/>
      <c r="C33" s="81"/>
      <c r="D33" s="81"/>
      <c r="E33" s="81"/>
      <c r="F33" s="81"/>
      <c r="G33" s="81"/>
    </row>
  </sheetData>
  <mergeCells count="1">
    <mergeCell ref="B17:G33"/>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284025-714F-46CD-BCD9-0B0B83586834}">
  <sheetPr codeName="Sheet4"/>
  <dimension ref="A1:Q74"/>
  <sheetViews>
    <sheetView showGridLines="0" showWhiteSpace="0" topLeftCell="A40" zoomScale="85" zoomScaleNormal="85" workbookViewId="0">
      <selection activeCell="A75" sqref="A75:XFD1048576"/>
    </sheetView>
  </sheetViews>
  <sheetFormatPr defaultColWidth="0" defaultRowHeight="14.4" zeroHeight="1" x14ac:dyDescent="0.3"/>
  <cols>
    <col min="1" max="1" width="3.6640625" bestFit="1" customWidth="1"/>
    <col min="2" max="14" width="9" customWidth="1"/>
    <col min="15" max="17" width="9.109375" customWidth="1"/>
    <col min="18" max="16384" width="9.109375" hidden="1"/>
  </cols>
  <sheetData>
    <row r="1" spans="2:10" s="2" customFormat="1" x14ac:dyDescent="0.3"/>
    <row r="2" spans="2:10" ht="15" customHeight="1" x14ac:dyDescent="0.3">
      <c r="B2" s="94" t="s">
        <v>104</v>
      </c>
      <c r="C2" s="95"/>
      <c r="D2" s="95"/>
      <c r="E2" s="95"/>
      <c r="F2" s="95"/>
      <c r="G2" s="96"/>
      <c r="H2" s="70"/>
    </row>
    <row r="3" spans="2:10" ht="15" customHeight="1" x14ac:dyDescent="0.3">
      <c r="B3" s="97"/>
      <c r="C3" s="98"/>
      <c r="D3" s="98"/>
      <c r="E3" s="98"/>
      <c r="F3" s="98"/>
      <c r="G3" s="99"/>
      <c r="H3" s="69"/>
      <c r="I3" s="75"/>
    </row>
    <row r="4" spans="2:10" x14ac:dyDescent="0.3">
      <c r="B4" s="72">
        <v>1</v>
      </c>
      <c r="C4" s="66" t="s">
        <v>90</v>
      </c>
      <c r="D4" s="93" t="s">
        <v>99</v>
      </c>
      <c r="E4" s="93"/>
      <c r="F4" s="34" t="s">
        <v>92</v>
      </c>
      <c r="G4" s="73"/>
      <c r="H4" s="68"/>
      <c r="I4" s="71"/>
      <c r="J4" s="2"/>
    </row>
    <row r="5" spans="2:10" x14ac:dyDescent="0.3">
      <c r="B5" s="74"/>
      <c r="C5" s="65">
        <v>1</v>
      </c>
      <c r="D5" s="34"/>
      <c r="E5" s="67"/>
      <c r="F5" s="34" t="s">
        <v>94</v>
      </c>
      <c r="G5" s="73"/>
      <c r="H5" s="68"/>
      <c r="I5" s="71"/>
      <c r="J5" s="2"/>
    </row>
    <row r="6" spans="2:10" x14ac:dyDescent="0.3">
      <c r="B6" s="74"/>
      <c r="C6" s="65">
        <v>2</v>
      </c>
      <c r="D6" s="34"/>
      <c r="E6" s="67" t="s">
        <v>22</v>
      </c>
      <c r="F6" s="34" t="s">
        <v>95</v>
      </c>
      <c r="G6" s="73"/>
      <c r="H6" s="68"/>
    </row>
    <row r="7" spans="2:10" x14ac:dyDescent="0.3">
      <c r="B7" s="74"/>
      <c r="C7" s="65">
        <v>3</v>
      </c>
      <c r="D7" s="34"/>
      <c r="E7" s="67" t="s">
        <v>22</v>
      </c>
      <c r="F7" s="34" t="s">
        <v>96</v>
      </c>
      <c r="G7" s="73"/>
      <c r="H7" s="68"/>
    </row>
    <row r="8" spans="2:10" x14ac:dyDescent="0.3">
      <c r="B8" s="74"/>
      <c r="C8" s="65">
        <v>4</v>
      </c>
      <c r="D8" s="34"/>
      <c r="E8" s="67" t="s">
        <v>21</v>
      </c>
      <c r="F8" s="34" t="s">
        <v>94</v>
      </c>
      <c r="G8" s="73"/>
      <c r="H8" s="68"/>
    </row>
    <row r="9" spans="2:10" x14ac:dyDescent="0.3">
      <c r="B9" s="74"/>
      <c r="C9" s="65">
        <v>5</v>
      </c>
      <c r="D9" s="34"/>
      <c r="E9" s="67" t="s">
        <v>21</v>
      </c>
      <c r="F9" s="34" t="s">
        <v>95</v>
      </c>
      <c r="G9" s="73"/>
      <c r="H9" s="68"/>
    </row>
    <row r="10" spans="2:10" x14ac:dyDescent="0.3">
      <c r="B10" s="74"/>
      <c r="C10" s="65">
        <v>6</v>
      </c>
      <c r="D10" s="34"/>
      <c r="E10" s="67" t="s">
        <v>21</v>
      </c>
      <c r="F10" s="34" t="s">
        <v>96</v>
      </c>
      <c r="G10" s="73"/>
      <c r="H10" s="68"/>
    </row>
    <row r="11" spans="2:10" x14ac:dyDescent="0.3">
      <c r="B11" s="74"/>
      <c r="C11" s="65">
        <v>7</v>
      </c>
      <c r="D11" s="34"/>
      <c r="E11" s="67" t="s">
        <v>20</v>
      </c>
      <c r="F11" s="34" t="s">
        <v>94</v>
      </c>
      <c r="G11" s="73"/>
      <c r="H11" s="68"/>
    </row>
    <row r="12" spans="2:10" x14ac:dyDescent="0.3">
      <c r="B12" s="74"/>
      <c r="C12" s="65">
        <v>8</v>
      </c>
      <c r="D12" s="34"/>
      <c r="E12" s="67" t="s">
        <v>20</v>
      </c>
      <c r="F12" s="34" t="s">
        <v>95</v>
      </c>
      <c r="G12" s="73"/>
      <c r="H12" s="68"/>
    </row>
    <row r="13" spans="2:10" x14ac:dyDescent="0.3">
      <c r="B13" s="74"/>
      <c r="C13" s="65">
        <v>9</v>
      </c>
      <c r="D13" s="34"/>
      <c r="E13" s="67" t="s">
        <v>20</v>
      </c>
      <c r="F13" s="34" t="s">
        <v>96</v>
      </c>
      <c r="G13" s="73"/>
      <c r="H13" s="68"/>
    </row>
    <row r="14" spans="2:10" x14ac:dyDescent="0.3"/>
    <row r="15" spans="2:10" x14ac:dyDescent="0.3"/>
    <row r="16" spans="2:10" x14ac:dyDescent="0.3"/>
    <row r="17" x14ac:dyDescent="0.3"/>
    <row r="18" x14ac:dyDescent="0.3"/>
    <row r="19" x14ac:dyDescent="0.3"/>
    <row r="20" x14ac:dyDescent="0.3"/>
    <row r="21" x14ac:dyDescent="0.3"/>
    <row r="22" x14ac:dyDescent="0.3"/>
    <row r="23" x14ac:dyDescent="0.3"/>
    <row r="24" ht="15" customHeight="1" x14ac:dyDescent="0.3"/>
    <row r="25" x14ac:dyDescent="0.3"/>
    <row r="26" x14ac:dyDescent="0.3"/>
    <row r="27" x14ac:dyDescent="0.3"/>
    <row r="28" x14ac:dyDescent="0.3"/>
    <row r="29" x14ac:dyDescent="0.3"/>
    <row r="30" x14ac:dyDescent="0.3"/>
    <row r="31" x14ac:dyDescent="0.3"/>
    <row r="32" x14ac:dyDescent="0.3"/>
    <row r="33" spans="1:14" x14ac:dyDescent="0.3"/>
    <row r="34" spans="1:14" x14ac:dyDescent="0.3"/>
    <row r="35" spans="1:14" x14ac:dyDescent="0.3"/>
    <row r="36" spans="1:14" x14ac:dyDescent="0.3"/>
    <row r="37" spans="1:14" x14ac:dyDescent="0.3"/>
    <row r="38" spans="1:14" x14ac:dyDescent="0.3"/>
    <row r="39" spans="1:14" x14ac:dyDescent="0.3"/>
    <row r="40" spans="1:14" x14ac:dyDescent="0.3"/>
    <row r="41" spans="1:14" ht="15" thickBot="1" x14ac:dyDescent="0.35">
      <c r="B41" s="92" t="s">
        <v>68</v>
      </c>
      <c r="C41" s="92"/>
      <c r="D41" s="92"/>
      <c r="E41" s="92"/>
      <c r="F41" s="92"/>
      <c r="G41" s="92"/>
      <c r="H41" s="92"/>
    </row>
    <row r="42" spans="1:14" x14ac:dyDescent="0.3">
      <c r="C42" s="82" t="s">
        <v>67</v>
      </c>
      <c r="D42" s="82"/>
      <c r="E42" s="82"/>
      <c r="F42" s="82"/>
      <c r="G42" s="82"/>
      <c r="H42" s="82"/>
    </row>
    <row r="43" spans="1:14" x14ac:dyDescent="0.3">
      <c r="B43" s="58" cm="1">
        <f t="array" ref="B43:N59">'Sensitivity analysis'!B5:N21</f>
        <v>0</v>
      </c>
      <c r="C43" s="35" t="str">
        <v>Jan</v>
      </c>
      <c r="D43" s="36" t="str">
        <v>Feb</v>
      </c>
      <c r="E43" s="36" t="str">
        <v>Mar</v>
      </c>
      <c r="F43" s="36" t="str">
        <v>Apr</v>
      </c>
      <c r="G43" s="36" t="str">
        <v>May</v>
      </c>
      <c r="H43" s="36" t="str">
        <v>Jun</v>
      </c>
      <c r="I43" s="36" t="str">
        <v>Jul</v>
      </c>
      <c r="J43" s="36" t="str">
        <v>Aug</v>
      </c>
      <c r="K43" s="36" t="str">
        <v>Sep</v>
      </c>
      <c r="L43" s="36" t="str">
        <v>Oct</v>
      </c>
      <c r="M43" s="36" t="str">
        <v>Nov</v>
      </c>
      <c r="N43" s="37" t="str">
        <v>Dec</v>
      </c>
    </row>
    <row r="44" spans="1:14" x14ac:dyDescent="0.3">
      <c r="A44" s="84" t="s">
        <v>66</v>
      </c>
      <c r="B44" s="32">
        <v>0</v>
      </c>
      <c r="C44" s="59">
        <v>4000</v>
      </c>
      <c r="D44" s="59">
        <v>4000</v>
      </c>
      <c r="E44" s="59">
        <v>4000</v>
      </c>
      <c r="F44" s="59">
        <v>4000</v>
      </c>
      <c r="G44" s="59">
        <v>3000</v>
      </c>
      <c r="H44" s="59">
        <v>3000</v>
      </c>
      <c r="I44" s="59">
        <v>3000</v>
      </c>
      <c r="J44" s="59">
        <v>3000</v>
      </c>
      <c r="K44" s="59">
        <v>3000</v>
      </c>
      <c r="L44" s="59">
        <v>3000</v>
      </c>
      <c r="M44" s="59">
        <v>3000</v>
      </c>
      <c r="N44" s="60">
        <v>3000</v>
      </c>
    </row>
    <row r="45" spans="1:14" x14ac:dyDescent="0.3">
      <c r="A45" s="84"/>
      <c r="B45" s="63">
        <v>0.1</v>
      </c>
      <c r="C45" s="59">
        <v>3000</v>
      </c>
      <c r="D45" s="59">
        <v>3000</v>
      </c>
      <c r="E45" s="59">
        <v>3000</v>
      </c>
      <c r="F45" s="59">
        <v>3000</v>
      </c>
      <c r="G45" s="59">
        <v>3000</v>
      </c>
      <c r="H45" s="59">
        <v>3000</v>
      </c>
      <c r="I45" s="59">
        <v>3000</v>
      </c>
      <c r="J45" s="59">
        <v>3000</v>
      </c>
      <c r="K45" s="59">
        <v>3000</v>
      </c>
      <c r="L45" s="59">
        <v>3000</v>
      </c>
      <c r="M45" s="59">
        <v>3000</v>
      </c>
      <c r="N45" s="60">
        <v>3000</v>
      </c>
    </row>
    <row r="46" spans="1:14" x14ac:dyDescent="0.3">
      <c r="A46" s="84"/>
      <c r="B46" s="63">
        <v>0.2</v>
      </c>
      <c r="C46" s="59">
        <v>3000</v>
      </c>
      <c r="D46" s="59">
        <v>3000</v>
      </c>
      <c r="E46" s="59">
        <v>3000</v>
      </c>
      <c r="F46" s="59">
        <v>3000</v>
      </c>
      <c r="G46" s="59">
        <v>2000</v>
      </c>
      <c r="H46" s="59">
        <v>2000</v>
      </c>
      <c r="I46" s="59">
        <v>2000</v>
      </c>
      <c r="J46" s="59">
        <v>2000</v>
      </c>
      <c r="K46" s="59">
        <v>2000</v>
      </c>
      <c r="L46" s="59">
        <v>2000</v>
      </c>
      <c r="M46" s="59">
        <v>2000</v>
      </c>
      <c r="N46" s="60">
        <v>2000</v>
      </c>
    </row>
    <row r="47" spans="1:14" x14ac:dyDescent="0.3">
      <c r="A47" s="84"/>
      <c r="B47" s="63">
        <v>0.3</v>
      </c>
      <c r="C47" s="59">
        <v>3000</v>
      </c>
      <c r="D47" s="59">
        <v>3000</v>
      </c>
      <c r="E47" s="59">
        <v>3000</v>
      </c>
      <c r="F47" s="59">
        <v>3000</v>
      </c>
      <c r="G47" s="59">
        <v>2000</v>
      </c>
      <c r="H47" s="59">
        <v>2000</v>
      </c>
      <c r="I47" s="59">
        <v>2000</v>
      </c>
      <c r="J47" s="59">
        <v>2000</v>
      </c>
      <c r="K47" s="59">
        <v>2000</v>
      </c>
      <c r="L47" s="59">
        <v>2000</v>
      </c>
      <c r="M47" s="59">
        <v>2000</v>
      </c>
      <c r="N47" s="60">
        <v>2000</v>
      </c>
    </row>
    <row r="48" spans="1:14" x14ac:dyDescent="0.3">
      <c r="A48" s="84"/>
      <c r="B48" s="63">
        <v>0.4</v>
      </c>
      <c r="C48" s="59">
        <v>3000</v>
      </c>
      <c r="D48" s="59">
        <v>3000</v>
      </c>
      <c r="E48" s="59">
        <v>3000</v>
      </c>
      <c r="F48" s="59">
        <v>3000</v>
      </c>
      <c r="G48" s="59">
        <v>2000</v>
      </c>
      <c r="H48" s="59">
        <v>2000</v>
      </c>
      <c r="I48" s="59">
        <v>2000</v>
      </c>
      <c r="J48" s="59">
        <v>2000</v>
      </c>
      <c r="K48" s="59">
        <v>2000</v>
      </c>
      <c r="L48" s="59">
        <v>2000</v>
      </c>
      <c r="M48" s="59">
        <v>2000</v>
      </c>
      <c r="N48" s="60">
        <v>2000</v>
      </c>
    </row>
    <row r="49" spans="1:14" x14ac:dyDescent="0.3">
      <c r="A49" s="84"/>
      <c r="B49" s="63">
        <v>0.5</v>
      </c>
      <c r="C49" s="59">
        <v>2000</v>
      </c>
      <c r="D49" s="59">
        <v>2000</v>
      </c>
      <c r="E49" s="59">
        <v>2000</v>
      </c>
      <c r="F49" s="59">
        <v>2000</v>
      </c>
      <c r="G49" s="59">
        <v>2000</v>
      </c>
      <c r="H49" s="59">
        <v>2000</v>
      </c>
      <c r="I49" s="59">
        <v>2000</v>
      </c>
      <c r="J49" s="59">
        <v>2000</v>
      </c>
      <c r="K49" s="59">
        <v>2000</v>
      </c>
      <c r="L49" s="59">
        <v>2000</v>
      </c>
      <c r="M49" s="59">
        <v>2000</v>
      </c>
      <c r="N49" s="60">
        <v>2000</v>
      </c>
    </row>
    <row r="50" spans="1:14" x14ac:dyDescent="0.3">
      <c r="A50" s="84"/>
      <c r="B50" s="63">
        <v>0.6</v>
      </c>
      <c r="C50" s="59">
        <v>2000</v>
      </c>
      <c r="D50" s="59">
        <v>2000</v>
      </c>
      <c r="E50" s="59">
        <v>2000</v>
      </c>
      <c r="F50" s="59">
        <v>2000</v>
      </c>
      <c r="G50" s="59">
        <v>1000</v>
      </c>
      <c r="H50" s="59">
        <v>1000</v>
      </c>
      <c r="I50" s="59">
        <v>1000</v>
      </c>
      <c r="J50" s="59">
        <v>1000</v>
      </c>
      <c r="K50" s="59">
        <v>1000</v>
      </c>
      <c r="L50" s="59">
        <v>1000</v>
      </c>
      <c r="M50" s="59">
        <v>1000</v>
      </c>
      <c r="N50" s="60">
        <v>1000</v>
      </c>
    </row>
    <row r="51" spans="1:14" x14ac:dyDescent="0.3">
      <c r="A51" s="84"/>
      <c r="B51" s="63">
        <v>0.7</v>
      </c>
      <c r="C51" s="59">
        <v>2000</v>
      </c>
      <c r="D51" s="59">
        <v>2000</v>
      </c>
      <c r="E51" s="59">
        <v>2000</v>
      </c>
      <c r="F51" s="59">
        <v>2000</v>
      </c>
      <c r="G51" s="59">
        <v>1000</v>
      </c>
      <c r="H51" s="59">
        <v>1000</v>
      </c>
      <c r="I51" s="59">
        <v>1000</v>
      </c>
      <c r="J51" s="59">
        <v>1000</v>
      </c>
      <c r="K51" s="59">
        <v>1000</v>
      </c>
      <c r="L51" s="59">
        <v>1000</v>
      </c>
      <c r="M51" s="59">
        <v>1000</v>
      </c>
      <c r="N51" s="60">
        <v>1000</v>
      </c>
    </row>
    <row r="52" spans="1:14" x14ac:dyDescent="0.3">
      <c r="A52" s="84"/>
      <c r="B52" s="63">
        <v>0.8</v>
      </c>
      <c r="C52" s="59">
        <v>2000</v>
      </c>
      <c r="D52" s="59">
        <v>2000</v>
      </c>
      <c r="E52" s="59">
        <v>2000</v>
      </c>
      <c r="F52" s="59">
        <v>2000</v>
      </c>
      <c r="G52" s="59">
        <v>1000</v>
      </c>
      <c r="H52" s="59">
        <v>1000</v>
      </c>
      <c r="I52" s="59">
        <v>1000</v>
      </c>
      <c r="J52" s="59">
        <v>1000</v>
      </c>
      <c r="K52" s="59">
        <v>1000</v>
      </c>
      <c r="L52" s="59">
        <v>1000</v>
      </c>
      <c r="M52" s="59">
        <v>1000</v>
      </c>
      <c r="N52" s="60">
        <v>1000</v>
      </c>
    </row>
    <row r="53" spans="1:14" x14ac:dyDescent="0.3">
      <c r="A53" s="84"/>
      <c r="B53" s="63">
        <v>0.9</v>
      </c>
      <c r="C53" s="59">
        <v>1000</v>
      </c>
      <c r="D53" s="59">
        <v>1000</v>
      </c>
      <c r="E53" s="59">
        <v>1000</v>
      </c>
      <c r="F53" s="59">
        <v>1000</v>
      </c>
      <c r="G53" s="59">
        <v>1000</v>
      </c>
      <c r="H53" s="59">
        <v>1000</v>
      </c>
      <c r="I53" s="59">
        <v>1000</v>
      </c>
      <c r="J53" s="59">
        <v>1000</v>
      </c>
      <c r="K53" s="59">
        <v>1000</v>
      </c>
      <c r="L53" s="59">
        <v>1000</v>
      </c>
      <c r="M53" s="59">
        <v>1000</v>
      </c>
      <c r="N53" s="60">
        <v>1000</v>
      </c>
    </row>
    <row r="54" spans="1:14" x14ac:dyDescent="0.3">
      <c r="A54" s="84"/>
      <c r="B54" s="63">
        <v>1</v>
      </c>
      <c r="C54" s="59">
        <v>1000</v>
      </c>
      <c r="D54" s="59">
        <v>1000</v>
      </c>
      <c r="E54" s="59">
        <v>1000</v>
      </c>
      <c r="F54" s="59">
        <v>1000</v>
      </c>
      <c r="G54" s="59">
        <v>1000</v>
      </c>
      <c r="H54" s="59">
        <v>1000</v>
      </c>
      <c r="I54" s="59">
        <v>1000</v>
      </c>
      <c r="J54" s="59">
        <v>1000</v>
      </c>
      <c r="K54" s="59">
        <v>1000</v>
      </c>
      <c r="L54" s="59">
        <v>1000</v>
      </c>
      <c r="M54" s="59">
        <v>1000</v>
      </c>
      <c r="N54" s="60">
        <v>1000</v>
      </c>
    </row>
    <row r="55" spans="1:14" x14ac:dyDescent="0.3">
      <c r="A55" s="84"/>
      <c r="B55" s="63">
        <v>1.1000000000000001</v>
      </c>
      <c r="C55" s="59">
        <v>1000</v>
      </c>
      <c r="D55" s="59">
        <v>1000</v>
      </c>
      <c r="E55" s="59">
        <v>1000</v>
      </c>
      <c r="F55" s="59">
        <v>1000</v>
      </c>
      <c r="G55" s="59">
        <v>0</v>
      </c>
      <c r="H55" s="59">
        <v>0</v>
      </c>
      <c r="I55" s="59">
        <v>0</v>
      </c>
      <c r="J55" s="59">
        <v>0</v>
      </c>
      <c r="K55" s="59">
        <v>0</v>
      </c>
      <c r="L55" s="59">
        <v>0</v>
      </c>
      <c r="M55" s="59">
        <v>0</v>
      </c>
      <c r="N55" s="60">
        <v>0</v>
      </c>
    </row>
    <row r="56" spans="1:14" x14ac:dyDescent="0.3">
      <c r="A56" s="84"/>
      <c r="B56" s="63">
        <v>1.2</v>
      </c>
      <c r="C56" s="59">
        <v>1000</v>
      </c>
      <c r="D56" s="59">
        <v>1000</v>
      </c>
      <c r="E56" s="59">
        <v>1000</v>
      </c>
      <c r="F56" s="59">
        <v>1000</v>
      </c>
      <c r="G56" s="59">
        <v>0</v>
      </c>
      <c r="H56" s="59">
        <v>0</v>
      </c>
      <c r="I56" s="59">
        <v>0</v>
      </c>
      <c r="J56" s="59">
        <v>0</v>
      </c>
      <c r="K56" s="59">
        <v>0</v>
      </c>
      <c r="L56" s="59">
        <v>0</v>
      </c>
      <c r="M56" s="59">
        <v>0</v>
      </c>
      <c r="N56" s="60">
        <v>0</v>
      </c>
    </row>
    <row r="57" spans="1:14" x14ac:dyDescent="0.3">
      <c r="A57" s="84"/>
      <c r="B57" s="63">
        <v>1.3</v>
      </c>
      <c r="C57" s="59">
        <v>1000</v>
      </c>
      <c r="D57" s="59">
        <v>1000</v>
      </c>
      <c r="E57" s="59">
        <v>1000</v>
      </c>
      <c r="F57" s="59">
        <v>1000</v>
      </c>
      <c r="G57" s="59">
        <v>0</v>
      </c>
      <c r="H57" s="59">
        <v>0</v>
      </c>
      <c r="I57" s="59">
        <v>0</v>
      </c>
      <c r="J57" s="59">
        <v>0</v>
      </c>
      <c r="K57" s="59">
        <v>0</v>
      </c>
      <c r="L57" s="59">
        <v>0</v>
      </c>
      <c r="M57" s="59">
        <v>0</v>
      </c>
      <c r="N57" s="60">
        <v>0</v>
      </c>
    </row>
    <row r="58" spans="1:14" x14ac:dyDescent="0.3">
      <c r="A58" s="84"/>
      <c r="B58" s="63">
        <v>1.4</v>
      </c>
      <c r="C58" s="59">
        <v>1000</v>
      </c>
      <c r="D58" s="59">
        <v>1000</v>
      </c>
      <c r="E58" s="59">
        <v>1000</v>
      </c>
      <c r="F58" s="59">
        <v>0</v>
      </c>
      <c r="G58" s="59">
        <v>0</v>
      </c>
      <c r="H58" s="59">
        <v>0</v>
      </c>
      <c r="I58" s="59">
        <v>0</v>
      </c>
      <c r="J58" s="59">
        <v>0</v>
      </c>
      <c r="K58" s="59">
        <v>0</v>
      </c>
      <c r="L58" s="59">
        <v>0</v>
      </c>
      <c r="M58" s="59">
        <v>0</v>
      </c>
      <c r="N58" s="60">
        <v>0</v>
      </c>
    </row>
    <row r="59" spans="1:14" x14ac:dyDescent="0.3">
      <c r="A59" s="84"/>
      <c r="B59" s="64">
        <v>1.5</v>
      </c>
      <c r="C59" s="61">
        <v>0</v>
      </c>
      <c r="D59" s="61">
        <v>0</v>
      </c>
      <c r="E59" s="61">
        <v>0</v>
      </c>
      <c r="F59" s="61">
        <v>0</v>
      </c>
      <c r="G59" s="61">
        <v>0</v>
      </c>
      <c r="H59" s="61">
        <v>0</v>
      </c>
      <c r="I59" s="61">
        <v>0</v>
      </c>
      <c r="J59" s="61">
        <v>0</v>
      </c>
      <c r="K59" s="61">
        <v>0</v>
      </c>
      <c r="L59" s="61">
        <v>0</v>
      </c>
      <c r="M59" s="61">
        <v>0</v>
      </c>
      <c r="N59" s="62">
        <v>0</v>
      </c>
    </row>
    <row r="60" spans="1:14" ht="15" thickBot="1" x14ac:dyDescent="0.35"/>
    <row r="61" spans="1:14" ht="15.6" x14ac:dyDescent="0.3">
      <c r="B61" s="40" t="s">
        <v>74</v>
      </c>
      <c r="C61" s="40"/>
      <c r="D61" s="40"/>
      <c r="E61" s="45"/>
      <c r="F61" s="45"/>
      <c r="G61" s="45"/>
      <c r="H61" s="45"/>
      <c r="I61" s="45"/>
      <c r="J61" s="45"/>
      <c r="K61" s="45"/>
    </row>
    <row r="62" spans="1:14" ht="15.6" x14ac:dyDescent="0.3">
      <c r="B62" s="39"/>
      <c r="C62" s="39"/>
      <c r="D62" s="39"/>
      <c r="E62" s="46" t="s">
        <v>76</v>
      </c>
      <c r="F62" s="90" t="s">
        <v>86</v>
      </c>
      <c r="G62" s="90"/>
      <c r="H62" s="90" t="s">
        <v>87</v>
      </c>
      <c r="I62" s="90"/>
      <c r="J62" s="90" t="s">
        <v>88</v>
      </c>
      <c r="K62" s="90"/>
    </row>
    <row r="63" spans="1:14" x14ac:dyDescent="0.3">
      <c r="B63" s="43" t="s">
        <v>75</v>
      </c>
      <c r="C63" s="43"/>
      <c r="D63" s="43"/>
      <c r="E63" s="41"/>
      <c r="F63" s="41"/>
      <c r="G63" s="41"/>
      <c r="H63" s="41"/>
      <c r="I63" s="41"/>
      <c r="J63" s="41"/>
      <c r="K63" s="41"/>
    </row>
    <row r="64" spans="1:14" x14ac:dyDescent="0.3">
      <c r="B64" s="42"/>
      <c r="C64" s="42" t="s">
        <v>79</v>
      </c>
      <c r="D64" s="42"/>
      <c r="E64" s="55" t="s">
        <v>21</v>
      </c>
      <c r="F64" s="100" t="s">
        <v>1</v>
      </c>
      <c r="G64" s="100"/>
      <c r="H64" s="89" t="s">
        <v>21</v>
      </c>
      <c r="I64" s="89"/>
      <c r="J64" s="89" t="s">
        <v>21</v>
      </c>
      <c r="K64" s="89"/>
    </row>
    <row r="65" spans="2:11" x14ac:dyDescent="0.3">
      <c r="B65" s="42"/>
      <c r="C65" s="42" t="s">
        <v>71</v>
      </c>
      <c r="D65" s="42"/>
      <c r="E65" s="55" t="s">
        <v>1</v>
      </c>
      <c r="F65" s="87" t="s">
        <v>23</v>
      </c>
      <c r="G65" s="87"/>
      <c r="H65" s="87" t="s">
        <v>24</v>
      </c>
      <c r="I65" s="87"/>
      <c r="J65" s="87" t="s">
        <v>29</v>
      </c>
      <c r="K65" s="87"/>
    </row>
    <row r="66" spans="2:11" x14ac:dyDescent="0.3">
      <c r="B66" s="42"/>
      <c r="C66" s="42" t="s">
        <v>72</v>
      </c>
      <c r="D66" s="42"/>
      <c r="E66" s="55" t="s">
        <v>19</v>
      </c>
      <c r="F66" s="87" t="s">
        <v>19</v>
      </c>
      <c r="G66" s="87"/>
      <c r="H66" s="87" t="s">
        <v>19</v>
      </c>
      <c r="I66" s="87"/>
      <c r="J66" s="87" t="s">
        <v>19</v>
      </c>
      <c r="K66" s="87"/>
    </row>
    <row r="67" spans="2:11" x14ac:dyDescent="0.3">
      <c r="B67" s="42"/>
      <c r="C67" s="42" t="s">
        <v>73</v>
      </c>
      <c r="D67" s="42"/>
      <c r="E67" s="55" t="s">
        <v>22</v>
      </c>
      <c r="F67" s="87" t="s">
        <v>1</v>
      </c>
      <c r="G67" s="87"/>
      <c r="H67" s="87" t="s">
        <v>23</v>
      </c>
      <c r="I67" s="87"/>
      <c r="J67" s="87" t="s">
        <v>28</v>
      </c>
      <c r="K67" s="87"/>
    </row>
    <row r="68" spans="2:11" x14ac:dyDescent="0.3">
      <c r="B68" s="42"/>
      <c r="C68" s="42" t="s">
        <v>84</v>
      </c>
      <c r="D68" s="42"/>
      <c r="E68" s="55" t="s">
        <v>21</v>
      </c>
      <c r="F68" s="88" t="s">
        <v>21</v>
      </c>
      <c r="G68" s="88"/>
      <c r="H68" s="87" t="s">
        <v>1</v>
      </c>
      <c r="I68" s="87"/>
      <c r="J68" s="88" t="s">
        <v>21</v>
      </c>
      <c r="K68" s="88"/>
    </row>
    <row r="69" spans="2:11" x14ac:dyDescent="0.3">
      <c r="B69" s="42"/>
      <c r="C69" s="42" t="s">
        <v>82</v>
      </c>
      <c r="D69" s="42"/>
      <c r="E69" s="55">
        <v>-200</v>
      </c>
      <c r="F69" s="88">
        <v>-200</v>
      </c>
      <c r="G69" s="88"/>
      <c r="H69" s="87">
        <v>-300</v>
      </c>
      <c r="I69" s="87"/>
      <c r="J69" s="88">
        <v>-200</v>
      </c>
      <c r="K69" s="88"/>
    </row>
    <row r="70" spans="2:11" x14ac:dyDescent="0.3">
      <c r="B70" s="42"/>
      <c r="C70" s="42" t="s">
        <v>80</v>
      </c>
      <c r="D70" s="42"/>
      <c r="E70" s="55">
        <v>-300</v>
      </c>
      <c r="F70" s="88">
        <v>-300</v>
      </c>
      <c r="G70" s="88"/>
      <c r="H70" s="87">
        <v>-250</v>
      </c>
      <c r="I70" s="87"/>
      <c r="J70" s="87">
        <v>-500</v>
      </c>
      <c r="K70" s="87"/>
    </row>
    <row r="71" spans="2:11" x14ac:dyDescent="0.3">
      <c r="B71" s="42"/>
      <c r="C71" s="42" t="s">
        <v>81</v>
      </c>
      <c r="D71" s="42"/>
      <c r="E71" s="55">
        <v>-440</v>
      </c>
      <c r="F71" s="86">
        <v>-440</v>
      </c>
      <c r="G71" s="86"/>
      <c r="H71" s="91">
        <v>-380</v>
      </c>
      <c r="I71" s="91"/>
      <c r="J71" s="86">
        <v>-440</v>
      </c>
      <c r="K71" s="86"/>
    </row>
    <row r="72" spans="2:11" x14ac:dyDescent="0.3">
      <c r="B72" s="43" t="s">
        <v>77</v>
      </c>
      <c r="C72" s="43"/>
      <c r="D72" s="43"/>
      <c r="E72" s="41"/>
      <c r="F72" s="41"/>
      <c r="G72" s="41"/>
      <c r="H72" s="41"/>
      <c r="I72" s="41"/>
      <c r="J72" s="41"/>
      <c r="K72" s="41"/>
    </row>
    <row r="73" spans="2:11" ht="15" thickBot="1" x14ac:dyDescent="0.35">
      <c r="B73" s="44"/>
      <c r="C73" s="44" t="s">
        <v>85</v>
      </c>
      <c r="D73" s="44"/>
      <c r="E73" s="57">
        <v>4000</v>
      </c>
      <c r="F73" s="85">
        <v>4000</v>
      </c>
      <c r="G73" s="85"/>
      <c r="H73" s="85">
        <v>3000</v>
      </c>
      <c r="I73" s="85"/>
      <c r="J73" s="85">
        <v>3000</v>
      </c>
      <c r="K73" s="85"/>
    </row>
    <row r="74" spans="2:11" x14ac:dyDescent="0.3"/>
  </sheetData>
  <mergeCells count="35">
    <mergeCell ref="B2:G3"/>
    <mergeCell ref="H70:I70"/>
    <mergeCell ref="H69:I69"/>
    <mergeCell ref="H68:I68"/>
    <mergeCell ref="H67:I67"/>
    <mergeCell ref="F66:G66"/>
    <mergeCell ref="F65:G65"/>
    <mergeCell ref="F64:G64"/>
    <mergeCell ref="F62:G62"/>
    <mergeCell ref="H62:I62"/>
    <mergeCell ref="F73:G73"/>
    <mergeCell ref="C42:H42"/>
    <mergeCell ref="B41:H41"/>
    <mergeCell ref="D4:E4"/>
    <mergeCell ref="F68:G68"/>
    <mergeCell ref="F67:G67"/>
    <mergeCell ref="F71:G71"/>
    <mergeCell ref="F70:G70"/>
    <mergeCell ref="F69:G69"/>
    <mergeCell ref="A44:A59"/>
    <mergeCell ref="J73:K73"/>
    <mergeCell ref="J71:K71"/>
    <mergeCell ref="J70:K70"/>
    <mergeCell ref="J69:K69"/>
    <mergeCell ref="J68:K68"/>
    <mergeCell ref="J67:K67"/>
    <mergeCell ref="J66:K66"/>
    <mergeCell ref="J65:K65"/>
    <mergeCell ref="J64:K64"/>
    <mergeCell ref="J62:K62"/>
    <mergeCell ref="H66:I66"/>
    <mergeCell ref="H65:I65"/>
    <mergeCell ref="H64:I64"/>
    <mergeCell ref="H73:I73"/>
    <mergeCell ref="H71:I71"/>
  </mergeCells>
  <conditionalFormatting sqref="C44:N59 B43">
    <cfRule type="colorScale" priority="1">
      <colorScale>
        <cfvo type="min"/>
        <cfvo type="max"/>
        <color rgb="FFFCFCFF"/>
        <color rgb="FFF8696B"/>
      </colorScale>
    </cfRule>
  </conditionalFormatting>
  <dataValidations count="2">
    <dataValidation type="list" allowBlank="1" showInputMessage="1" showErrorMessage="1" sqref="E5:E13" xr:uid="{BBA545CB-158B-4ED9-91C1-E1972208125F}">
      <formula1>Month</formula1>
    </dataValidation>
    <dataValidation type="list" allowBlank="1" showInputMessage="1" showErrorMessage="1" sqref="F5:F13" xr:uid="{E5FADF61-0D9B-40D8-8C65-652A79700EBC}">
      <formula1>renting_delay</formula1>
    </dataValidation>
  </dataValidations>
  <pageMargins left="0.31496062992125984" right="0.31496062992125984" top="0.15748031496062992" bottom="0.15748031496062992" header="0.31496062992125984" footer="0.31496062992125984"/>
  <pageSetup paperSize="9"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Option Button 1">
              <controlPr defaultSize="0" autoFill="0" autoLine="0" autoPict="0">
                <anchor moveWithCells="1">
                  <from>
                    <xdr:col>1</xdr:col>
                    <xdr:colOff>190500</xdr:colOff>
                    <xdr:row>3</xdr:row>
                    <xdr:rowOff>175260</xdr:rowOff>
                  </from>
                  <to>
                    <xdr:col>2</xdr:col>
                    <xdr:colOff>0</xdr:colOff>
                    <xdr:row>5</xdr:row>
                    <xdr:rowOff>7620</xdr:rowOff>
                  </to>
                </anchor>
              </controlPr>
            </control>
          </mc:Choice>
        </mc:AlternateContent>
        <mc:AlternateContent xmlns:mc="http://schemas.openxmlformats.org/markup-compatibility/2006">
          <mc:Choice Requires="x14">
            <control shapeId="3074" r:id="rId5" name="Option Button 2">
              <controlPr defaultSize="0" autoFill="0" autoLine="0" autoPict="0">
                <anchor moveWithCells="1">
                  <from>
                    <xdr:col>1</xdr:col>
                    <xdr:colOff>190500</xdr:colOff>
                    <xdr:row>4</xdr:row>
                    <xdr:rowOff>175260</xdr:rowOff>
                  </from>
                  <to>
                    <xdr:col>2</xdr:col>
                    <xdr:colOff>0</xdr:colOff>
                    <xdr:row>6</xdr:row>
                    <xdr:rowOff>7620</xdr:rowOff>
                  </to>
                </anchor>
              </controlPr>
            </control>
          </mc:Choice>
        </mc:AlternateContent>
        <mc:AlternateContent xmlns:mc="http://schemas.openxmlformats.org/markup-compatibility/2006">
          <mc:Choice Requires="x14">
            <control shapeId="3075" r:id="rId6" name="Option Button 3">
              <controlPr defaultSize="0" autoFill="0" autoLine="0" autoPict="0">
                <anchor moveWithCells="1">
                  <from>
                    <xdr:col>1</xdr:col>
                    <xdr:colOff>190500</xdr:colOff>
                    <xdr:row>5</xdr:row>
                    <xdr:rowOff>175260</xdr:rowOff>
                  </from>
                  <to>
                    <xdr:col>2</xdr:col>
                    <xdr:colOff>0</xdr:colOff>
                    <xdr:row>7</xdr:row>
                    <xdr:rowOff>7620</xdr:rowOff>
                  </to>
                </anchor>
              </controlPr>
            </control>
          </mc:Choice>
        </mc:AlternateContent>
        <mc:AlternateContent xmlns:mc="http://schemas.openxmlformats.org/markup-compatibility/2006">
          <mc:Choice Requires="x14">
            <control shapeId="3076" r:id="rId7" name="Option Button 4">
              <controlPr defaultSize="0" autoFill="0" autoLine="0" autoPict="0">
                <anchor moveWithCells="1">
                  <from>
                    <xdr:col>1</xdr:col>
                    <xdr:colOff>190500</xdr:colOff>
                    <xdr:row>6</xdr:row>
                    <xdr:rowOff>182880</xdr:rowOff>
                  </from>
                  <to>
                    <xdr:col>2</xdr:col>
                    <xdr:colOff>0</xdr:colOff>
                    <xdr:row>8</xdr:row>
                    <xdr:rowOff>22860</xdr:rowOff>
                  </to>
                </anchor>
              </controlPr>
            </control>
          </mc:Choice>
        </mc:AlternateContent>
        <mc:AlternateContent xmlns:mc="http://schemas.openxmlformats.org/markup-compatibility/2006">
          <mc:Choice Requires="x14">
            <control shapeId="3077" r:id="rId8" name="Option Button 5">
              <controlPr defaultSize="0" autoFill="0" autoLine="0" autoPict="0">
                <anchor moveWithCells="1">
                  <from>
                    <xdr:col>1</xdr:col>
                    <xdr:colOff>190500</xdr:colOff>
                    <xdr:row>7</xdr:row>
                    <xdr:rowOff>182880</xdr:rowOff>
                  </from>
                  <to>
                    <xdr:col>2</xdr:col>
                    <xdr:colOff>0</xdr:colOff>
                    <xdr:row>9</xdr:row>
                    <xdr:rowOff>22860</xdr:rowOff>
                  </to>
                </anchor>
              </controlPr>
            </control>
          </mc:Choice>
        </mc:AlternateContent>
        <mc:AlternateContent xmlns:mc="http://schemas.openxmlformats.org/markup-compatibility/2006">
          <mc:Choice Requires="x14">
            <control shapeId="3078" r:id="rId9" name="Option Button 6">
              <controlPr defaultSize="0" autoFill="0" autoLine="0" autoPict="0">
                <anchor moveWithCells="1">
                  <from>
                    <xdr:col>1</xdr:col>
                    <xdr:colOff>190500</xdr:colOff>
                    <xdr:row>8</xdr:row>
                    <xdr:rowOff>182880</xdr:rowOff>
                  </from>
                  <to>
                    <xdr:col>2</xdr:col>
                    <xdr:colOff>0</xdr:colOff>
                    <xdr:row>10</xdr:row>
                    <xdr:rowOff>22860</xdr:rowOff>
                  </to>
                </anchor>
              </controlPr>
            </control>
          </mc:Choice>
        </mc:AlternateContent>
        <mc:AlternateContent xmlns:mc="http://schemas.openxmlformats.org/markup-compatibility/2006">
          <mc:Choice Requires="x14">
            <control shapeId="3079" r:id="rId10" name="Option Button 7">
              <controlPr defaultSize="0" autoFill="0" autoLine="0" autoPict="0">
                <anchor moveWithCells="1">
                  <from>
                    <xdr:col>1</xdr:col>
                    <xdr:colOff>190500</xdr:colOff>
                    <xdr:row>9</xdr:row>
                    <xdr:rowOff>182880</xdr:rowOff>
                  </from>
                  <to>
                    <xdr:col>2</xdr:col>
                    <xdr:colOff>0</xdr:colOff>
                    <xdr:row>11</xdr:row>
                    <xdr:rowOff>22860</xdr:rowOff>
                  </to>
                </anchor>
              </controlPr>
            </control>
          </mc:Choice>
        </mc:AlternateContent>
        <mc:AlternateContent xmlns:mc="http://schemas.openxmlformats.org/markup-compatibility/2006">
          <mc:Choice Requires="x14">
            <control shapeId="3080" r:id="rId11" name="Option Button 8">
              <controlPr defaultSize="0" autoFill="0" autoLine="0" autoPict="0">
                <anchor moveWithCells="1">
                  <from>
                    <xdr:col>1</xdr:col>
                    <xdr:colOff>190500</xdr:colOff>
                    <xdr:row>10</xdr:row>
                    <xdr:rowOff>175260</xdr:rowOff>
                  </from>
                  <to>
                    <xdr:col>2</xdr:col>
                    <xdr:colOff>0</xdr:colOff>
                    <xdr:row>12</xdr:row>
                    <xdr:rowOff>7620</xdr:rowOff>
                  </to>
                </anchor>
              </controlPr>
            </control>
          </mc:Choice>
        </mc:AlternateContent>
        <mc:AlternateContent xmlns:mc="http://schemas.openxmlformats.org/markup-compatibility/2006">
          <mc:Choice Requires="x14">
            <control shapeId="3081" r:id="rId12" name="Option Button 9">
              <controlPr defaultSize="0" autoFill="0" autoLine="0" autoPict="0">
                <anchor moveWithCells="1">
                  <from>
                    <xdr:col>1</xdr:col>
                    <xdr:colOff>190500</xdr:colOff>
                    <xdr:row>11</xdr:row>
                    <xdr:rowOff>175260</xdr:rowOff>
                  </from>
                  <to>
                    <xdr:col>2</xdr:col>
                    <xdr:colOff>0</xdr:colOff>
                    <xdr:row>13</xdr:row>
                    <xdr:rowOff>7620</xdr:rowOff>
                  </to>
                </anchor>
              </controlPr>
            </control>
          </mc:Choice>
        </mc:AlternateContent>
        <mc:AlternateContent xmlns:mc="http://schemas.openxmlformats.org/markup-compatibility/2006">
          <mc:Choice Requires="x14">
            <control shapeId="3083" r:id="rId13" name="Button 11">
              <controlPr defaultSize="0" print="0" autoFill="0" autoPict="0" macro="[0]!prin">
                <anchor moveWithCells="1" sizeWithCells="1">
                  <from>
                    <xdr:col>11</xdr:col>
                    <xdr:colOff>563880</xdr:colOff>
                    <xdr:row>70</xdr:row>
                    <xdr:rowOff>7620</xdr:rowOff>
                  </from>
                  <to>
                    <xdr:col>15</xdr:col>
                    <xdr:colOff>266700</xdr:colOff>
                    <xdr:row>73</xdr:row>
                    <xdr:rowOff>7620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8A102D-0362-4D4A-8D4E-41EE90DCF4F6}">
  <sheetPr codeName="Sheet5"/>
  <dimension ref="A1:T56"/>
  <sheetViews>
    <sheetView topLeftCell="A4" zoomScale="85" zoomScaleNormal="85" workbookViewId="0">
      <selection activeCell="B22" sqref="B22"/>
    </sheetView>
  </sheetViews>
  <sheetFormatPr defaultRowHeight="14.4" x14ac:dyDescent="0.3"/>
  <cols>
    <col min="1" max="1" width="12.88671875" bestFit="1" customWidth="1"/>
    <col min="4" max="4" width="9.6640625" bestFit="1" customWidth="1"/>
    <col min="6" max="6" width="28.109375" bestFit="1" customWidth="1"/>
    <col min="7" max="7" width="19.5546875" bestFit="1" customWidth="1"/>
    <col min="8" max="8" width="18.5546875" bestFit="1" customWidth="1"/>
  </cols>
  <sheetData>
    <row r="1" spans="1:7" x14ac:dyDescent="0.3">
      <c r="A1" t="s">
        <v>98</v>
      </c>
      <c r="B1" t="s">
        <v>0</v>
      </c>
      <c r="D1" t="s">
        <v>50</v>
      </c>
      <c r="F1" t="s">
        <v>91</v>
      </c>
    </row>
    <row r="2" spans="1:7" x14ac:dyDescent="0.3">
      <c r="A2">
        <v>1</v>
      </c>
      <c r="B2" t="s">
        <v>19</v>
      </c>
      <c r="D2" t="s">
        <v>30</v>
      </c>
      <c r="F2">
        <v>2</v>
      </c>
    </row>
    <row r="3" spans="1:7" x14ac:dyDescent="0.3">
      <c r="A3">
        <v>2</v>
      </c>
      <c r="B3" t="s">
        <v>20</v>
      </c>
      <c r="D3" t="s">
        <v>31</v>
      </c>
      <c r="F3">
        <v>3</v>
      </c>
    </row>
    <row r="4" spans="1:7" x14ac:dyDescent="0.3">
      <c r="A4">
        <v>3</v>
      </c>
      <c r="B4" t="s">
        <v>21</v>
      </c>
      <c r="F4">
        <v>4</v>
      </c>
    </row>
    <row r="5" spans="1:7" x14ac:dyDescent="0.3">
      <c r="A5">
        <v>4</v>
      </c>
      <c r="B5" t="s">
        <v>22</v>
      </c>
    </row>
    <row r="6" spans="1:7" x14ac:dyDescent="0.3">
      <c r="A6">
        <v>5</v>
      </c>
      <c r="B6" t="s">
        <v>1</v>
      </c>
      <c r="F6" t="s">
        <v>93</v>
      </c>
      <c r="G6" t="s">
        <v>97</v>
      </c>
    </row>
    <row r="7" spans="1:7" x14ac:dyDescent="0.3">
      <c r="A7">
        <v>6</v>
      </c>
      <c r="B7" t="s">
        <v>23</v>
      </c>
      <c r="F7" t="s">
        <v>94</v>
      </c>
      <c r="G7">
        <v>0</v>
      </c>
    </row>
    <row r="8" spans="1:7" x14ac:dyDescent="0.3">
      <c r="A8">
        <v>7</v>
      </c>
      <c r="B8" t="s">
        <v>24</v>
      </c>
      <c r="F8" t="s">
        <v>95</v>
      </c>
      <c r="G8">
        <v>1</v>
      </c>
    </row>
    <row r="9" spans="1:7" x14ac:dyDescent="0.3">
      <c r="A9">
        <v>8</v>
      </c>
      <c r="B9" t="s">
        <v>25</v>
      </c>
      <c r="F9" t="s">
        <v>96</v>
      </c>
      <c r="G9">
        <v>2</v>
      </c>
    </row>
    <row r="10" spans="1:7" x14ac:dyDescent="0.3">
      <c r="A10">
        <v>9</v>
      </c>
      <c r="B10" t="s">
        <v>26</v>
      </c>
    </row>
    <row r="11" spans="1:7" x14ac:dyDescent="0.3">
      <c r="A11">
        <v>10</v>
      </c>
      <c r="B11" t="s">
        <v>27</v>
      </c>
    </row>
    <row r="12" spans="1:7" x14ac:dyDescent="0.3">
      <c r="A12">
        <v>11</v>
      </c>
      <c r="B12" t="s">
        <v>28</v>
      </c>
    </row>
    <row r="13" spans="1:7" x14ac:dyDescent="0.3">
      <c r="A13">
        <v>12</v>
      </c>
      <c r="B13" t="s">
        <v>29</v>
      </c>
    </row>
    <row r="17" spans="1:20" x14ac:dyDescent="0.3">
      <c r="B17" s="2"/>
    </row>
    <row r="18" spans="1:20" x14ac:dyDescent="0.3">
      <c r="A18" s="9" t="str">
        <f>IF(G18="",Inputs!K5,G18)</f>
        <v>May</v>
      </c>
      <c r="B18" s="2" t="s">
        <v>101</v>
      </c>
      <c r="F18" t="s">
        <v>100</v>
      </c>
      <c r="G18" t="str">
        <f>IF(_xlfn.XLOOKUP(_xlfn.XLOOKUP(renovation_ending,Month,index_month)+1+_xlfn.XLOOKUP(VLOOKUP(Output!B4,Scenario,4,FALSE),renting_delay,renting_delay_index),index_month,Month)="May","",_xlfn.XLOOKUP(_xlfn.XLOOKUP(renovation_ending,Month,index_month)+1+_xlfn.XLOOKUP(VLOOKUP(Output!B4,Scenario,4,FALSE),renting_delay,renting_delay_index),index_month,Month))</f>
        <v/>
      </c>
    </row>
    <row r="19" spans="1:20" x14ac:dyDescent="0.3">
      <c r="A19" s="9" t="str">
        <f>IF(G19="",Inputs!M10,G19)</f>
        <v>Apr</v>
      </c>
      <c r="B19" t="s">
        <v>102</v>
      </c>
      <c r="F19" t="s">
        <v>103</v>
      </c>
      <c r="G19" t="str">
        <f>IF(VLOOKUP(Output!B4,Scenario,3,FALSE)="","",VLOOKUP(Output!B4,Scenario,3,FALSE))</f>
        <v/>
      </c>
    </row>
    <row r="25" spans="1:20" x14ac:dyDescent="0.3">
      <c r="H25" t="s">
        <v>105</v>
      </c>
      <c r="I25" cm="1">
        <f t="array" ref="I25:T25">icf_1+icf_2+icf_3</f>
        <v>365</v>
      </c>
      <c r="J25">
        <v>365</v>
      </c>
      <c r="K25">
        <v>805</v>
      </c>
      <c r="L25">
        <v>805</v>
      </c>
      <c r="M25">
        <v>1456</v>
      </c>
      <c r="N25">
        <v>1456</v>
      </c>
      <c r="O25">
        <v>1456</v>
      </c>
      <c r="P25">
        <v>1456</v>
      </c>
      <c r="Q25">
        <v>1456</v>
      </c>
      <c r="R25">
        <v>1456</v>
      </c>
      <c r="S25">
        <v>1456</v>
      </c>
      <c r="T25">
        <v>1456</v>
      </c>
    </row>
    <row r="26" spans="1:20" x14ac:dyDescent="0.3">
      <c r="H26">
        <v>1</v>
      </c>
      <c r="I26">
        <f>SUM(I27:I28)</f>
        <v>365</v>
      </c>
      <c r="J26" s="2">
        <f t="shared" ref="J26:T26" si="0">SUM(J27:J28)</f>
        <v>365</v>
      </c>
      <c r="K26" s="2">
        <f t="shared" si="0"/>
        <v>365</v>
      </c>
      <c r="L26" s="2">
        <f t="shared" si="0"/>
        <v>365</v>
      </c>
      <c r="M26" s="2">
        <f t="shared" si="0"/>
        <v>365</v>
      </c>
      <c r="N26" s="2">
        <f t="shared" si="0"/>
        <v>365</v>
      </c>
      <c r="O26" s="2">
        <f t="shared" si="0"/>
        <v>365</v>
      </c>
      <c r="P26" s="2">
        <f t="shared" si="0"/>
        <v>365</v>
      </c>
      <c r="Q26" s="2">
        <f t="shared" si="0"/>
        <v>365</v>
      </c>
      <c r="R26" s="2">
        <f t="shared" si="0"/>
        <v>365</v>
      </c>
      <c r="S26" s="2">
        <f t="shared" si="0"/>
        <v>365</v>
      </c>
      <c r="T26" s="2">
        <f t="shared" si="0"/>
        <v>365</v>
      </c>
    </row>
    <row r="27" spans="1:20" x14ac:dyDescent="0.3">
      <c r="I27" cm="1">
        <f t="array" ref="I27:T28">'Model and budget'!C4:N5</f>
        <v>345</v>
      </c>
      <c r="J27">
        <v>345</v>
      </c>
      <c r="K27">
        <v>345</v>
      </c>
      <c r="L27">
        <v>345</v>
      </c>
      <c r="M27">
        <v>345</v>
      </c>
      <c r="N27">
        <v>345</v>
      </c>
      <c r="O27">
        <v>345</v>
      </c>
      <c r="P27">
        <v>345</v>
      </c>
      <c r="Q27">
        <v>345</v>
      </c>
      <c r="R27">
        <v>345</v>
      </c>
      <c r="S27">
        <v>345</v>
      </c>
      <c r="T27">
        <v>345</v>
      </c>
    </row>
    <row r="28" spans="1:20" x14ac:dyDescent="0.3">
      <c r="I28">
        <v>20</v>
      </c>
      <c r="J28">
        <v>20</v>
      </c>
      <c r="K28">
        <v>20</v>
      </c>
      <c r="L28">
        <v>20</v>
      </c>
      <c r="M28">
        <v>20</v>
      </c>
      <c r="N28">
        <v>20</v>
      </c>
      <c r="O28">
        <v>20</v>
      </c>
      <c r="P28">
        <v>20</v>
      </c>
      <c r="Q28">
        <v>20</v>
      </c>
      <c r="R28">
        <v>20</v>
      </c>
      <c r="S28">
        <v>20</v>
      </c>
      <c r="T28">
        <v>20</v>
      </c>
    </row>
    <row r="29" spans="1:20" x14ac:dyDescent="0.3">
      <c r="H29">
        <v>2</v>
      </c>
      <c r="I29">
        <f>SUM(I30:I31)</f>
        <v>0</v>
      </c>
      <c r="J29" s="2">
        <f t="shared" ref="J29:T29" si="1">SUM(J30:J31)</f>
        <v>0</v>
      </c>
      <c r="K29" s="2">
        <f t="shared" si="1"/>
        <v>440</v>
      </c>
      <c r="L29" s="2">
        <f t="shared" si="1"/>
        <v>440</v>
      </c>
      <c r="M29" s="2">
        <f t="shared" si="1"/>
        <v>440</v>
      </c>
      <c r="N29" s="2">
        <f t="shared" si="1"/>
        <v>440</v>
      </c>
      <c r="O29" s="2">
        <f t="shared" si="1"/>
        <v>440</v>
      </c>
      <c r="P29" s="2">
        <f t="shared" si="1"/>
        <v>440</v>
      </c>
      <c r="Q29" s="2">
        <f t="shared" si="1"/>
        <v>440</v>
      </c>
      <c r="R29" s="2">
        <f t="shared" si="1"/>
        <v>440</v>
      </c>
      <c r="S29" s="2">
        <f t="shared" si="1"/>
        <v>440</v>
      </c>
      <c r="T29" s="2">
        <f t="shared" si="1"/>
        <v>440</v>
      </c>
    </row>
    <row r="30" spans="1:20" x14ac:dyDescent="0.3">
      <c r="I30" t="str" cm="1">
        <f t="array" ref="I30:T31">'Model and budget'!C14:N15</f>
        <v/>
      </c>
      <c r="J30" t="str">
        <v/>
      </c>
      <c r="K30">
        <v>440</v>
      </c>
      <c r="L30">
        <v>440</v>
      </c>
      <c r="M30">
        <v>440</v>
      </c>
      <c r="N30">
        <v>440</v>
      </c>
      <c r="O30">
        <v>440</v>
      </c>
      <c r="P30">
        <v>440</v>
      </c>
      <c r="Q30">
        <v>440</v>
      </c>
      <c r="R30">
        <v>440</v>
      </c>
      <c r="S30">
        <v>440</v>
      </c>
      <c r="T30">
        <v>440</v>
      </c>
    </row>
    <row r="31" spans="1:20" x14ac:dyDescent="0.3">
      <c r="I31" t="str">
        <v/>
      </c>
      <c r="J31" t="str">
        <v/>
      </c>
      <c r="K31">
        <v>0</v>
      </c>
      <c r="L31">
        <v>0</v>
      </c>
      <c r="M31">
        <v>0</v>
      </c>
      <c r="N31">
        <v>0</v>
      </c>
      <c r="O31">
        <v>0</v>
      </c>
      <c r="P31">
        <v>0</v>
      </c>
      <c r="Q31">
        <v>0</v>
      </c>
      <c r="R31">
        <v>0</v>
      </c>
      <c r="S31">
        <v>0</v>
      </c>
      <c r="T31">
        <v>0</v>
      </c>
    </row>
    <row r="32" spans="1:20" x14ac:dyDescent="0.3">
      <c r="H32">
        <v>3</v>
      </c>
      <c r="I32">
        <f>SUM(I33:I34)</f>
        <v>0</v>
      </c>
      <c r="J32" s="2">
        <f t="shared" ref="J32:T32" si="2">SUM(J33:J34)</f>
        <v>0</v>
      </c>
      <c r="K32" s="2">
        <f t="shared" si="2"/>
        <v>0</v>
      </c>
      <c r="L32" s="2">
        <f t="shared" si="2"/>
        <v>0</v>
      </c>
      <c r="M32" s="2">
        <f t="shared" si="2"/>
        <v>651</v>
      </c>
      <c r="N32" s="2">
        <f t="shared" si="2"/>
        <v>651</v>
      </c>
      <c r="O32" s="2">
        <f t="shared" si="2"/>
        <v>651</v>
      </c>
      <c r="P32" s="2">
        <f t="shared" si="2"/>
        <v>651</v>
      </c>
      <c r="Q32" s="2">
        <f t="shared" si="2"/>
        <v>651</v>
      </c>
      <c r="R32" s="2">
        <f t="shared" si="2"/>
        <v>651</v>
      </c>
      <c r="S32" s="2">
        <f t="shared" si="2"/>
        <v>651</v>
      </c>
      <c r="T32" s="2">
        <f t="shared" si="2"/>
        <v>651</v>
      </c>
    </row>
    <row r="33" spans="8:20" x14ac:dyDescent="0.3">
      <c r="I33" t="str" cm="1">
        <f t="array" ref="I33:T34">'Model and budget'!C23:N24</f>
        <v/>
      </c>
      <c r="J33" t="str">
        <v/>
      </c>
      <c r="K33" t="str">
        <v/>
      </c>
      <c r="L33" t="str">
        <v/>
      </c>
      <c r="M33">
        <v>600</v>
      </c>
      <c r="N33">
        <v>600</v>
      </c>
      <c r="O33">
        <v>600</v>
      </c>
      <c r="P33">
        <v>600</v>
      </c>
      <c r="Q33">
        <v>600</v>
      </c>
      <c r="R33">
        <v>600</v>
      </c>
      <c r="S33">
        <v>600</v>
      </c>
      <c r="T33">
        <v>600</v>
      </c>
    </row>
    <row r="34" spans="8:20" x14ac:dyDescent="0.3">
      <c r="I34" t="str">
        <v/>
      </c>
      <c r="J34" t="str">
        <v/>
      </c>
      <c r="K34" t="str">
        <v/>
      </c>
      <c r="L34" t="str">
        <v/>
      </c>
      <c r="M34">
        <v>51</v>
      </c>
      <c r="N34">
        <v>51</v>
      </c>
      <c r="O34">
        <v>51</v>
      </c>
      <c r="P34">
        <v>51</v>
      </c>
      <c r="Q34">
        <v>51</v>
      </c>
      <c r="R34">
        <v>51</v>
      </c>
      <c r="S34">
        <v>51</v>
      </c>
      <c r="T34">
        <v>51</v>
      </c>
    </row>
    <row r="36" spans="8:20" x14ac:dyDescent="0.3">
      <c r="H36" t="s">
        <v>106</v>
      </c>
      <c r="I36">
        <f>SUM('Model and budget'!C7:C9,'Model and budget'!C16:C18,'Model and budget'!C25:C28,'Model and budget'!C32:C40)</f>
        <v>-1597</v>
      </c>
      <c r="J36" s="2">
        <f>SUM('Model and budget'!D7:D9,'Model and budget'!D16:D18,'Model and budget'!D25:D28,'Model and budget'!D32:D40)</f>
        <v>-1597</v>
      </c>
      <c r="K36" s="2">
        <f>SUM('Model and budget'!E7:E9,'Model and budget'!E16:E18,'Model and budget'!E25:E28,'Model and budget'!E32:E40)</f>
        <v>-2737</v>
      </c>
      <c r="L36" s="2">
        <f>SUM('Model and budget'!F7:F9,'Model and budget'!F16:F18,'Model and budget'!F25:F28,'Model and budget'!F32:F40)</f>
        <v>-1637</v>
      </c>
      <c r="M36" s="2">
        <f>SUM('Model and budget'!G7:G9,'Model and budget'!G16:G18,'Model and budget'!G25:G28,'Model and budget'!G32:G40)</f>
        <v>-688</v>
      </c>
      <c r="N36" s="2">
        <f>SUM('Model and budget'!H7:H9,'Model and budget'!H16:H18,'Model and budget'!H25:H28,'Model and budget'!H32:H40)</f>
        <v>-788</v>
      </c>
      <c r="O36" s="2">
        <f>SUM('Model and budget'!I7:I9,'Model and budget'!I16:I18,'Model and budget'!I25:I28,'Model and budget'!I32:I40)</f>
        <v>-688</v>
      </c>
      <c r="P36" s="2">
        <f>SUM('Model and budget'!J7:J9,'Model and budget'!J16:J18,'Model and budget'!J25:J28,'Model and budget'!J32:J40)</f>
        <v>-688</v>
      </c>
      <c r="Q36" s="2">
        <f>SUM('Model and budget'!K7:K9,'Model and budget'!K16:K18,'Model and budget'!K25:K28,'Model and budget'!K32:K40)</f>
        <v>-788</v>
      </c>
      <c r="R36" s="2">
        <f>SUM('Model and budget'!L7:L9,'Model and budget'!L16:L18,'Model and budget'!L25:L28,'Model and budget'!L32:L40)</f>
        <v>-1328</v>
      </c>
      <c r="S36" s="2">
        <f>SUM('Model and budget'!M7:M9,'Model and budget'!M16:M18,'Model and budget'!M25:M28,'Model and budget'!M32:M40)</f>
        <v>-688</v>
      </c>
      <c r="T36" s="2">
        <f>SUM('Model and budget'!N7:N9,'Model and budget'!N16:N18,'Model and budget'!N25:N28,'Model and budget'!N32:N40)</f>
        <v>-788</v>
      </c>
    </row>
    <row r="38" spans="8:20" x14ac:dyDescent="0.3">
      <c r="H38" t="s">
        <v>36</v>
      </c>
      <c r="I38">
        <f>I25+I36</f>
        <v>-1232</v>
      </c>
      <c r="J38" s="2">
        <f t="shared" ref="J38:T38" si="3">J25+J36</f>
        <v>-1232</v>
      </c>
      <c r="K38" s="2">
        <f t="shared" si="3"/>
        <v>-1932</v>
      </c>
      <c r="L38" s="2">
        <f t="shared" si="3"/>
        <v>-832</v>
      </c>
      <c r="M38" s="2">
        <f t="shared" si="3"/>
        <v>768</v>
      </c>
      <c r="N38" s="2">
        <f t="shared" si="3"/>
        <v>668</v>
      </c>
      <c r="O38" s="2">
        <f t="shared" si="3"/>
        <v>768</v>
      </c>
      <c r="P38" s="2">
        <f t="shared" si="3"/>
        <v>768</v>
      </c>
      <c r="Q38" s="2">
        <f t="shared" si="3"/>
        <v>668</v>
      </c>
      <c r="R38" s="2">
        <f t="shared" si="3"/>
        <v>128</v>
      </c>
      <c r="S38" s="2">
        <f t="shared" si="3"/>
        <v>768</v>
      </c>
      <c r="T38" s="2">
        <f t="shared" si="3"/>
        <v>668</v>
      </c>
    </row>
    <row r="41" spans="8:20" x14ac:dyDescent="0.3">
      <c r="I41" s="23" t="str" cm="1">
        <f t="array" ref="I41:T41">TRANSPOSE(Month)</f>
        <v>Jan</v>
      </c>
      <c r="J41" s="23" t="str">
        <v>Feb</v>
      </c>
      <c r="K41" s="23" t="str">
        <v>Mar</v>
      </c>
      <c r="L41" s="23" t="str">
        <v>Apr</v>
      </c>
      <c r="M41" s="23" t="str">
        <v>May</v>
      </c>
      <c r="N41" s="23" t="str">
        <v>Jun</v>
      </c>
      <c r="O41" s="23" t="str">
        <v>Jul</v>
      </c>
      <c r="P41" s="23" t="str">
        <v>Aug</v>
      </c>
      <c r="Q41" s="23" t="str">
        <v>Sep</v>
      </c>
      <c r="R41" s="23" t="str">
        <v>Oct</v>
      </c>
      <c r="S41" s="23" t="str">
        <v>Nov</v>
      </c>
      <c r="T41" s="23" t="str">
        <v>Dec</v>
      </c>
    </row>
    <row r="42" spans="8:20" x14ac:dyDescent="0.3">
      <c r="H42" t="s">
        <v>4</v>
      </c>
      <c r="I42">
        <f>'Model and budget'!C7+'Model and budget'!C17+'Model and budget'!C26</f>
        <v>-445</v>
      </c>
      <c r="J42" s="2">
        <f>'Model and budget'!D7+'Model and budget'!D17+'Model and budget'!D26</f>
        <v>-445</v>
      </c>
      <c r="K42" s="2">
        <f>'Model and budget'!E7+'Model and budget'!E17+'Model and budget'!E26</f>
        <v>-445</v>
      </c>
      <c r="L42" s="2">
        <f>'Model and budget'!F7+'Model and budget'!F17+'Model and budget'!F26</f>
        <v>-445</v>
      </c>
      <c r="M42" s="2">
        <f>'Model and budget'!G7+'Model and budget'!G17+'Model and budget'!G26</f>
        <v>-445</v>
      </c>
      <c r="N42" s="2">
        <f>'Model and budget'!H7+'Model and budget'!H17+'Model and budget'!H26</f>
        <v>-445</v>
      </c>
      <c r="O42" s="2">
        <f>'Model and budget'!I7+'Model and budget'!I17+'Model and budget'!I26</f>
        <v>-445</v>
      </c>
      <c r="P42" s="2">
        <f>'Model and budget'!J7+'Model and budget'!J17+'Model and budget'!J26</f>
        <v>-445</v>
      </c>
      <c r="Q42" s="2">
        <f>'Model and budget'!K7+'Model and budget'!K17+'Model and budget'!K26</f>
        <v>-445</v>
      </c>
      <c r="R42" s="2">
        <f>'Model and budget'!L7+'Model and budget'!L17+'Model and budget'!L26</f>
        <v>-445</v>
      </c>
      <c r="S42" s="2">
        <f>'Model and budget'!M7+'Model and budget'!M17+'Model and budget'!M26</f>
        <v>-445</v>
      </c>
      <c r="T42" s="2">
        <f>'Model and budget'!N7+'Model and budget'!N17+'Model and budget'!N26</f>
        <v>-445</v>
      </c>
    </row>
    <row r="43" spans="8:20" x14ac:dyDescent="0.3">
      <c r="H43" t="s">
        <v>34</v>
      </c>
      <c r="I43">
        <f>'Model and budget'!C8+'Model and budget'!C18+'Model and budget'!C27</f>
        <v>-87</v>
      </c>
      <c r="J43" s="2">
        <f>'Model and budget'!D8+'Model and budget'!D18+'Model and budget'!D27</f>
        <v>-87</v>
      </c>
      <c r="K43" s="2">
        <f>'Model and budget'!E8+'Model and budget'!E18+'Model and budget'!E27</f>
        <v>-87</v>
      </c>
      <c r="L43" s="2">
        <f>'Model and budget'!F8+'Model and budget'!F18+'Model and budget'!F27</f>
        <v>-87</v>
      </c>
      <c r="M43" s="2">
        <f>'Model and budget'!G8+'Model and budget'!G18+'Model and budget'!G27</f>
        <v>-87</v>
      </c>
      <c r="N43" s="2">
        <f>'Model and budget'!H8+'Model and budget'!H18+'Model and budget'!H27</f>
        <v>-87</v>
      </c>
      <c r="O43" s="2">
        <f>'Model and budget'!I8+'Model and budget'!I18+'Model and budget'!I27</f>
        <v>-87</v>
      </c>
      <c r="P43" s="2">
        <f>'Model and budget'!J8+'Model and budget'!J18+'Model and budget'!J27</f>
        <v>-87</v>
      </c>
      <c r="Q43" s="2">
        <f>'Model and budget'!K8+'Model and budget'!K18+'Model and budget'!K27</f>
        <v>-87</v>
      </c>
      <c r="R43" s="2">
        <f>'Model and budget'!L8+'Model and budget'!L18+'Model and budget'!L27</f>
        <v>-87</v>
      </c>
      <c r="S43" s="2">
        <f>'Model and budget'!M8+'Model and budget'!M18+'Model and budget'!M27</f>
        <v>-87</v>
      </c>
      <c r="T43" s="2">
        <f>'Model and budget'!N8+'Model and budget'!N18+'Model and budget'!N27</f>
        <v>-87</v>
      </c>
    </row>
    <row r="44" spans="8:20" x14ac:dyDescent="0.3">
      <c r="H44" t="s">
        <v>12</v>
      </c>
      <c r="I44">
        <f>IF('Model and budget'!C16="",0,'Model and budget'!C16)+IF('Model and budget'!C6="",0,'Model and budget'!C6)+IF('Model and budget'!C25="",0,'Model and budget'!C25)</f>
        <v>-20</v>
      </c>
      <c r="J44" s="2">
        <f>IF('Model and budget'!D16="",0,'Model and budget'!D16)+IF('Model and budget'!D6="",0,'Model and budget'!D6)+IF('Model and budget'!D25="",0,'Model and budget'!D25)</f>
        <v>-20</v>
      </c>
      <c r="K44" s="2">
        <f>IF('Model and budget'!E16="",0,'Model and budget'!E16)+IF('Model and budget'!E6="",0,'Model and budget'!E6)+IF('Model and budget'!E25="",0,'Model and budget'!E25)</f>
        <v>-60</v>
      </c>
      <c r="L44" s="2">
        <f>IF('Model and budget'!F16="",0,'Model and budget'!F16)+IF('Model and budget'!F6="",0,'Model and budget'!F6)+IF('Model and budget'!F25="",0,'Model and budget'!F25)</f>
        <v>-60</v>
      </c>
      <c r="M44" s="2">
        <f>IF('Model and budget'!G16="",0,'Model and budget'!G16)+IF('Model and budget'!G6="",0,'Model and budget'!G6)+IF('Model and budget'!G25="",0,'Model and budget'!G25)</f>
        <v>-111</v>
      </c>
      <c r="N44" s="2">
        <f>IF('Model and budget'!H16="",0,'Model and budget'!H16)+IF('Model and budget'!H6="",0,'Model and budget'!H6)+IF('Model and budget'!H25="",0,'Model and budget'!H25)</f>
        <v>-111</v>
      </c>
      <c r="O44" s="2">
        <f>IF('Model and budget'!I16="",0,'Model and budget'!I16)+IF('Model and budget'!I6="",0,'Model and budget'!I6)+IF('Model and budget'!I25="",0,'Model and budget'!I25)</f>
        <v>-111</v>
      </c>
      <c r="P44" s="2">
        <f>IF('Model and budget'!J16="",0,'Model and budget'!J16)+IF('Model and budget'!J6="",0,'Model and budget'!J6)+IF('Model and budget'!J25="",0,'Model and budget'!J25)</f>
        <v>-111</v>
      </c>
      <c r="Q44" s="2">
        <f>IF('Model and budget'!K16="",0,'Model and budget'!K16)+IF('Model and budget'!K6="",0,'Model and budget'!K6)+IF('Model and budget'!K25="",0,'Model and budget'!K25)</f>
        <v>-111</v>
      </c>
      <c r="R44" s="2">
        <f>IF('Model and budget'!L16="",0,'Model and budget'!L16)+IF('Model and budget'!L6="",0,'Model and budget'!L6)+IF('Model and budget'!L25="",0,'Model and budget'!L25)</f>
        <v>-111</v>
      </c>
      <c r="S44" s="2">
        <f>IF('Model and budget'!M16="",0,'Model and budget'!M16)+IF('Model and budget'!M6="",0,'Model and budget'!M6)+IF('Model and budget'!M25="",0,'Model and budget'!M25)</f>
        <v>-111</v>
      </c>
      <c r="T44" s="2">
        <f>IF('Model and budget'!N16="",0,'Model and budget'!N16)+IF('Model and budget'!N6="",0,'Model and budget'!N6)+IF('Model and budget'!N25="",0,'Model and budget'!N25)</f>
        <v>-111</v>
      </c>
    </row>
    <row r="45" spans="8:20" x14ac:dyDescent="0.3">
      <c r="H45" t="s">
        <v>37</v>
      </c>
      <c r="I45">
        <f>'Model and budget'!C28</f>
        <v>-1000</v>
      </c>
      <c r="J45" s="2">
        <f>'Model and budget'!D28</f>
        <v>-1000</v>
      </c>
      <c r="K45" s="2">
        <f>'Model and budget'!E28</f>
        <v>-1000</v>
      </c>
      <c r="L45" s="2">
        <f>'Model and budget'!F28</f>
        <v>-1000</v>
      </c>
      <c r="M45" s="2" t="str">
        <f>'Model and budget'!G28</f>
        <v/>
      </c>
      <c r="N45" s="2" t="str">
        <f>'Model and budget'!H28</f>
        <v/>
      </c>
      <c r="O45" s="2" t="str">
        <f>'Model and budget'!I28</f>
        <v/>
      </c>
      <c r="P45" s="2" t="str">
        <f>'Model and budget'!J28</f>
        <v/>
      </c>
      <c r="Q45" s="2" t="str">
        <f>'Model and budget'!K28</f>
        <v/>
      </c>
      <c r="R45" s="2" t="str">
        <f>'Model and budget'!L28</f>
        <v/>
      </c>
      <c r="S45" s="2" t="str">
        <f>'Model and budget'!M28</f>
        <v/>
      </c>
      <c r="T45" s="2" t="str">
        <f>'Model and budget'!N28</f>
        <v/>
      </c>
    </row>
    <row r="46" spans="8:20" x14ac:dyDescent="0.3">
      <c r="H46" t="s">
        <v>107</v>
      </c>
      <c r="I46" t="str">
        <f>'Model and budget'!C9</f>
        <v/>
      </c>
      <c r="J46" s="2" t="str">
        <f>'Model and budget'!D9</f>
        <v/>
      </c>
      <c r="K46" s="2">
        <f>'Model and budget'!E9</f>
        <v>-700</v>
      </c>
      <c r="L46" s="2" t="str">
        <f>'Model and budget'!F9</f>
        <v/>
      </c>
      <c r="M46" s="2" t="str">
        <f>'Model and budget'!G9</f>
        <v/>
      </c>
      <c r="N46" s="2" t="str">
        <f>'Model and budget'!H9</f>
        <v/>
      </c>
      <c r="O46" s="2" t="str">
        <f>'Model and budget'!I9</f>
        <v/>
      </c>
      <c r="P46" s="2" t="str">
        <f>'Model and budget'!J9</f>
        <v/>
      </c>
      <c r="Q46" s="2" t="str">
        <f>'Model and budget'!K9</f>
        <v/>
      </c>
      <c r="R46" s="2" t="str">
        <f>'Model and budget'!L9</f>
        <v/>
      </c>
      <c r="S46" s="2" t="str">
        <f>'Model and budget'!M9</f>
        <v/>
      </c>
      <c r="T46" s="2" t="str">
        <f>'Model and budget'!N9</f>
        <v/>
      </c>
    </row>
    <row r="47" spans="8:20" x14ac:dyDescent="0.3">
      <c r="H47" t="s">
        <v>16</v>
      </c>
      <c r="I47">
        <f>'Model and budget'!C32</f>
        <v>-10</v>
      </c>
      <c r="J47" s="2">
        <f>'Model and budget'!D32</f>
        <v>-10</v>
      </c>
      <c r="K47" s="2">
        <f>'Model and budget'!E32</f>
        <v>-10</v>
      </c>
      <c r="L47" s="2">
        <f>'Model and budget'!F32</f>
        <v>-10</v>
      </c>
      <c r="M47" s="2">
        <f>'Model and budget'!G32</f>
        <v>-10</v>
      </c>
      <c r="N47" s="2">
        <f>'Model and budget'!H32</f>
        <v>-10</v>
      </c>
      <c r="O47" s="2">
        <f>'Model and budget'!I32</f>
        <v>-10</v>
      </c>
      <c r="P47" s="2">
        <f>'Model and budget'!J32</f>
        <v>-10</v>
      </c>
      <c r="Q47" s="2">
        <f>'Model and budget'!K32</f>
        <v>-10</v>
      </c>
      <c r="R47" s="2">
        <f>'Model and budget'!L32</f>
        <v>-10</v>
      </c>
      <c r="S47" s="2">
        <f>'Model and budget'!M32</f>
        <v>-10</v>
      </c>
      <c r="T47" s="2">
        <f>'Model and budget'!N32</f>
        <v>-10</v>
      </c>
    </row>
    <row r="48" spans="8:20" x14ac:dyDescent="0.3">
      <c r="H48" t="s">
        <v>39</v>
      </c>
      <c r="I48" s="2">
        <f>'Model and budget'!C33</f>
        <v>-55</v>
      </c>
      <c r="J48" s="2">
        <f>'Model and budget'!D33</f>
        <v>-55</v>
      </c>
      <c r="K48" s="2">
        <f>'Model and budget'!E33</f>
        <v>-55</v>
      </c>
      <c r="L48" s="2">
        <f>'Model and budget'!F33</f>
        <v>-55</v>
      </c>
      <c r="M48" s="2">
        <f>'Model and budget'!G33</f>
        <v>-55</v>
      </c>
      <c r="N48" s="2">
        <f>'Model and budget'!H33</f>
        <v>-55</v>
      </c>
      <c r="O48" s="2">
        <f>'Model and budget'!I33</f>
        <v>-55</v>
      </c>
      <c r="P48" s="2">
        <f>'Model and budget'!J33</f>
        <v>-55</v>
      </c>
      <c r="Q48" s="2">
        <f>'Model and budget'!K33</f>
        <v>-55</v>
      </c>
      <c r="R48" s="2">
        <f>'Model and budget'!L33</f>
        <v>-55</v>
      </c>
      <c r="S48" s="2">
        <f>'Model and budget'!M33</f>
        <v>-55</v>
      </c>
      <c r="T48" s="2">
        <f>'Model and budget'!N33</f>
        <v>-55</v>
      </c>
    </row>
    <row r="49" spans="8:20" x14ac:dyDescent="0.3">
      <c r="H49" t="s">
        <v>17</v>
      </c>
      <c r="I49" s="2" t="str">
        <f>'Model and budget'!C34</f>
        <v/>
      </c>
      <c r="J49" s="2" t="str">
        <f>'Model and budget'!D34</f>
        <v/>
      </c>
      <c r="K49" s="2">
        <f>'Model and budget'!E34</f>
        <v>-300</v>
      </c>
      <c r="L49" s="2" t="str">
        <f>'Model and budget'!F34</f>
        <v/>
      </c>
      <c r="M49" s="2" t="str">
        <f>'Model and budget'!G34</f>
        <v/>
      </c>
      <c r="N49" s="2" t="str">
        <f>'Model and budget'!H34</f>
        <v/>
      </c>
      <c r="O49" s="2" t="str">
        <f>'Model and budget'!I34</f>
        <v/>
      </c>
      <c r="P49" s="2" t="str">
        <f>'Model and budget'!J34</f>
        <v/>
      </c>
      <c r="Q49" s="2" t="str">
        <f>'Model and budget'!K34</f>
        <v/>
      </c>
      <c r="R49" s="2" t="str">
        <f>'Model and budget'!L34</f>
        <v/>
      </c>
      <c r="S49" s="2" t="str">
        <f>'Model and budget'!M34</f>
        <v/>
      </c>
      <c r="T49" s="2" t="str">
        <f>'Model and budget'!N34</f>
        <v/>
      </c>
    </row>
    <row r="50" spans="8:20" x14ac:dyDescent="0.3">
      <c r="H50" t="s">
        <v>18</v>
      </c>
      <c r="I50" s="2" t="str">
        <f>'Model and budget'!C35</f>
        <v/>
      </c>
      <c r="J50" s="2" t="str">
        <f>'Model and budget'!D35</f>
        <v/>
      </c>
      <c r="K50" s="2" t="str">
        <f>'Model and budget'!E35</f>
        <v/>
      </c>
      <c r="L50" s="2" t="str">
        <f>'Model and budget'!F35</f>
        <v/>
      </c>
      <c r="M50" s="2" t="str">
        <f>'Model and budget'!G35</f>
        <v/>
      </c>
      <c r="N50" s="2" t="str">
        <f>'Model and budget'!H35</f>
        <v/>
      </c>
      <c r="O50" s="2" t="str">
        <f>'Model and budget'!I35</f>
        <v/>
      </c>
      <c r="P50" s="2" t="str">
        <f>'Model and budget'!J35</f>
        <v/>
      </c>
      <c r="Q50" s="2" t="str">
        <f>'Model and budget'!K35</f>
        <v/>
      </c>
      <c r="R50" s="2">
        <f>'Model and budget'!L35</f>
        <v>-440</v>
      </c>
      <c r="S50" s="2" t="str">
        <f>'Model and budget'!M35</f>
        <v/>
      </c>
      <c r="T50" s="2" t="str">
        <f>'Model and budget'!N35</f>
        <v/>
      </c>
    </row>
    <row r="51" spans="8:20" x14ac:dyDescent="0.3">
      <c r="H51" t="s">
        <v>40</v>
      </c>
      <c r="I51">
        <f>SUM('Model and budget'!C36:C39)</f>
        <v>0</v>
      </c>
      <c r="J51" s="2">
        <f>SUM('Model and budget'!D36:D39)</f>
        <v>0</v>
      </c>
      <c r="K51" s="2">
        <f>SUM('Model and budget'!E36:E39)</f>
        <v>-100</v>
      </c>
      <c r="L51" s="2">
        <f>SUM('Model and budget'!F36:F39)</f>
        <v>0</v>
      </c>
      <c r="M51" s="2">
        <f>SUM('Model and budget'!G36:G39)</f>
        <v>0</v>
      </c>
      <c r="N51" s="2">
        <f>SUM('Model and budget'!H36:H39)</f>
        <v>-100</v>
      </c>
      <c r="O51" s="2">
        <f>SUM('Model and budget'!I36:I39)</f>
        <v>0</v>
      </c>
      <c r="P51" s="2">
        <f>SUM('Model and budget'!J36:J39)</f>
        <v>0</v>
      </c>
      <c r="Q51" s="2">
        <f>SUM('Model and budget'!K36:K39)</f>
        <v>-100</v>
      </c>
      <c r="R51" s="2">
        <f>SUM('Model and budget'!L36:L39)</f>
        <v>0</v>
      </c>
      <c r="S51" s="2">
        <f>SUM('Model and budget'!M36:M39)</f>
        <v>0</v>
      </c>
      <c r="T51" s="2">
        <f>SUM('Model and budget'!N36:N39)</f>
        <v>-100</v>
      </c>
    </row>
    <row r="52" spans="8:20" x14ac:dyDescent="0.3">
      <c r="H52" t="s">
        <v>7</v>
      </c>
      <c r="I52" t="str">
        <f>'Model and budget'!C40</f>
        <v/>
      </c>
      <c r="J52" s="2" t="str">
        <f>'Model and budget'!D40</f>
        <v/>
      </c>
      <c r="K52" s="2" t="str">
        <f>'Model and budget'!E40</f>
        <v/>
      </c>
      <c r="L52" s="2" t="str">
        <f>'Model and budget'!F40</f>
        <v/>
      </c>
      <c r="M52" s="2" t="str">
        <f>'Model and budget'!G40</f>
        <v/>
      </c>
      <c r="N52" s="2" t="str">
        <f>'Model and budget'!H40</f>
        <v/>
      </c>
      <c r="O52" s="2" t="str">
        <f>'Model and budget'!I40</f>
        <v/>
      </c>
      <c r="P52" s="2" t="str">
        <f>'Model and budget'!J40</f>
        <v/>
      </c>
      <c r="Q52" s="2" t="str">
        <f>'Model and budget'!K40</f>
        <v/>
      </c>
      <c r="R52" s="2">
        <f>'Model and budget'!L40</f>
        <v>-200</v>
      </c>
      <c r="S52" s="2" t="str">
        <f>'Model and budget'!M40</f>
        <v/>
      </c>
      <c r="T52" s="2" t="str">
        <f>'Model and budget'!N40</f>
        <v/>
      </c>
    </row>
    <row r="54" spans="8:20" x14ac:dyDescent="0.3">
      <c r="H54" t="s">
        <v>108</v>
      </c>
      <c r="I54">
        <f>SUM(I46:I52)</f>
        <v>-65</v>
      </c>
      <c r="J54" s="2">
        <f t="shared" ref="J54:T54" si="4">SUM(J46:J52)</f>
        <v>-65</v>
      </c>
      <c r="K54" s="2">
        <f t="shared" si="4"/>
        <v>-1165</v>
      </c>
      <c r="L54" s="2">
        <f t="shared" si="4"/>
        <v>-65</v>
      </c>
      <c r="M54" s="2">
        <f t="shared" si="4"/>
        <v>-65</v>
      </c>
      <c r="N54" s="2">
        <f t="shared" si="4"/>
        <v>-165</v>
      </c>
      <c r="O54" s="2">
        <f t="shared" si="4"/>
        <v>-65</v>
      </c>
      <c r="P54" s="2">
        <f t="shared" si="4"/>
        <v>-65</v>
      </c>
      <c r="Q54" s="2">
        <f t="shared" si="4"/>
        <v>-165</v>
      </c>
      <c r="R54" s="2">
        <f t="shared" si="4"/>
        <v>-705</v>
      </c>
      <c r="S54" s="2">
        <f t="shared" si="4"/>
        <v>-65</v>
      </c>
      <c r="T54" s="2">
        <f t="shared" si="4"/>
        <v>-165</v>
      </c>
    </row>
    <row r="56" spans="8:20" x14ac:dyDescent="0.3">
      <c r="I56">
        <f t="shared" ref="I56:T56" si="5">SUM(I42:I52)</f>
        <v>-1617</v>
      </c>
      <c r="J56" s="2">
        <f t="shared" si="5"/>
        <v>-1617</v>
      </c>
      <c r="K56" s="2">
        <f t="shared" si="5"/>
        <v>-2757</v>
      </c>
      <c r="L56" s="2">
        <f t="shared" si="5"/>
        <v>-1657</v>
      </c>
      <c r="M56" s="2">
        <f t="shared" si="5"/>
        <v>-708</v>
      </c>
      <c r="N56" s="2">
        <f t="shared" si="5"/>
        <v>-808</v>
      </c>
      <c r="O56" s="2">
        <f t="shared" si="5"/>
        <v>-708</v>
      </c>
      <c r="P56" s="2">
        <f t="shared" si="5"/>
        <v>-708</v>
      </c>
      <c r="Q56" s="2">
        <f t="shared" si="5"/>
        <v>-808</v>
      </c>
      <c r="R56" s="2">
        <f t="shared" si="5"/>
        <v>-1348</v>
      </c>
      <c r="S56" s="2">
        <f t="shared" si="5"/>
        <v>-708</v>
      </c>
      <c r="T56" s="2">
        <f t="shared" si="5"/>
        <v>-808</v>
      </c>
    </row>
  </sheetData>
  <dataValidations count="1">
    <dataValidation type="list" allowBlank="1" showInputMessage="1" showErrorMessage="1" sqref="A18:A19" xr:uid="{C7C33F71-4CA7-4905-A519-C30D7DCD0B51}">
      <formula1>Month</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636AD2EEC44F0C4FBB59868E8A6E282E" ma:contentTypeVersion="11" ma:contentTypeDescription="Create a new document." ma:contentTypeScope="" ma:versionID="a9e74dfe922d156be7d01fe2be47d0a5">
  <xsd:schema xmlns:xsd="http://www.w3.org/2001/XMLSchema" xmlns:xs="http://www.w3.org/2001/XMLSchema" xmlns:p="http://schemas.microsoft.com/office/2006/metadata/properties" xmlns:ns3="94ee1e51-099d-4736-8a18-607c5f643e8d" xmlns:ns4="0c3b2942-cfe0-4d6c-a88d-cb8e8a222a46" targetNamespace="http://schemas.microsoft.com/office/2006/metadata/properties" ma:root="true" ma:fieldsID="d74c1e30a0ecb64eae234ed999f31d17" ns3:_="" ns4:_="">
    <xsd:import namespace="94ee1e51-099d-4736-8a18-607c5f643e8d"/>
    <xsd:import namespace="0c3b2942-cfe0-4d6c-a88d-cb8e8a222a46"/>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element ref="ns4:SharedWithUsers" minOccurs="0"/>
                <xsd:element ref="ns4:SharedWithDetails" minOccurs="0"/>
                <xsd:element ref="ns4:SharingHintHash" minOccurs="0"/>
                <xsd:element ref="ns3:MediaServiceAuto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4ee1e51-099d-4736-8a18-607c5f643e8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c3b2942-cfe0-4d6c-a88d-cb8e8a222a46"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SharingHintHash" ma:index="14"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6CE94D-6CFA-464C-A1FA-AF001276FBA4}">
  <ds:schemaRefs>
    <ds:schemaRef ds:uri="http://schemas.microsoft.com/office/infopath/2007/PartnerControls"/>
    <ds:schemaRef ds:uri="http://purl.org/dc/elements/1.1/"/>
    <ds:schemaRef ds:uri="http://schemas.microsoft.com/office/2006/metadata/properties"/>
    <ds:schemaRef ds:uri="94ee1e51-099d-4736-8a18-607c5f643e8d"/>
    <ds:schemaRef ds:uri="http://purl.org/dc/terms/"/>
    <ds:schemaRef ds:uri="0c3b2942-cfe0-4d6c-a88d-cb8e8a222a46"/>
    <ds:schemaRef ds:uri="http://schemas.microsoft.com/office/2006/documentManagement/type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D30F7ABC-9350-48BB-B9DB-F3BA310C5A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4ee1e51-099d-4736-8a18-607c5f643e8d"/>
    <ds:schemaRef ds:uri="0c3b2942-cfe0-4d6c-a88d-cb8e8a222a4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3D9176D-9561-425E-9C8C-93643EA3254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37</vt:i4>
      </vt:variant>
    </vt:vector>
  </HeadingPairs>
  <TitlesOfParts>
    <vt:vector size="45" baseType="lpstr">
      <vt:lpstr>Answers</vt:lpstr>
      <vt:lpstr>Inputs</vt:lpstr>
      <vt:lpstr>Model and budget</vt:lpstr>
      <vt:lpstr>Break Even output</vt:lpstr>
      <vt:lpstr>Sensitivity analysis</vt:lpstr>
      <vt:lpstr>Scenario Summary</vt:lpstr>
      <vt:lpstr>Output</vt:lpstr>
      <vt:lpstr>Calculation menu</vt:lpstr>
      <vt:lpstr>account</vt:lpstr>
      <vt:lpstr>book_keeping</vt:lpstr>
      <vt:lpstr>Condition</vt:lpstr>
      <vt:lpstr>desired_inj_liq</vt:lpstr>
      <vt:lpstr>fridge_change</vt:lpstr>
      <vt:lpstr>icf_1</vt:lpstr>
      <vt:lpstr>icf_2</vt:lpstr>
      <vt:lpstr>icf_3</vt:lpstr>
      <vt:lpstr>index_month</vt:lpstr>
      <vt:lpstr>inj_liq</vt:lpstr>
      <vt:lpstr>injected_liquidity</vt:lpstr>
      <vt:lpstr>insert</vt:lpstr>
      <vt:lpstr>insurance</vt:lpstr>
      <vt:lpstr>liq_after_pincr</vt:lpstr>
      <vt:lpstr>liq_p_incr</vt:lpstr>
      <vt:lpstr>liquidity_after</vt:lpstr>
      <vt:lpstr>liquidity_before</vt:lpstr>
      <vt:lpstr>Month</vt:lpstr>
      <vt:lpstr>old_rents</vt:lpstr>
      <vt:lpstr>p_incr</vt:lpstr>
      <vt:lpstr>renovation_duration</vt:lpstr>
      <vt:lpstr>renovation_ending</vt:lpstr>
      <vt:lpstr>renovation_start</vt:lpstr>
      <vt:lpstr>rent1</vt:lpstr>
      <vt:lpstr>rent1_start</vt:lpstr>
      <vt:lpstr>rent2</vt:lpstr>
      <vt:lpstr>rent2_start</vt:lpstr>
      <vt:lpstr>rent3</vt:lpstr>
      <vt:lpstr>rent3_start</vt:lpstr>
      <vt:lpstr>renting_delay</vt:lpstr>
      <vt:lpstr>renting_delay_index</vt:lpstr>
      <vt:lpstr>Scenario</vt:lpstr>
      <vt:lpstr>sum_inj_liq</vt:lpstr>
      <vt:lpstr>taxes</vt:lpstr>
      <vt:lpstr>tenants1</vt:lpstr>
      <vt:lpstr>tenants2</vt:lpstr>
      <vt:lpstr>tenants3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Matteo</dc:creator>
  <cp:lastModifiedBy>matteo bulleri</cp:lastModifiedBy>
  <cp:lastPrinted>2022-02-24T09:04:41Z</cp:lastPrinted>
  <dcterms:created xsi:type="dcterms:W3CDTF">2022-02-09T16:46:53Z</dcterms:created>
  <dcterms:modified xsi:type="dcterms:W3CDTF">2022-02-24T14:49:25Z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0x010100636AD2EEC44F0C4FBB59868E8A6E282E</vt:lpwstr>
  </property>
</Properties>
</file>
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https://lut-my.sharepoint.com/personal/matteo_bulleri_student_lut_fi/Documents/Excel_lut/IBAE/Assignments/Output/"/>
    </mc:Choice>
  </mc:AlternateContent>
  <xr:revisionPtr revIDLastSave="64646" documentId="14_{573968D7-AE9E-4465-A875-A378AA2F4343}" xr6:coauthVersionLast="47" xr6:coauthVersionMax="47" xr10:uidLastSave="{2AD99753-8EAB-4614-8D81-4C3E92C76C0D}"/>
  <bookViews>
    <workbookView xWindow="-108" yWindow="-108" windowWidth="23256" windowHeight="12456" tabRatio="830" firstSheet="1" activeTab="2" xr2:uid="{6EABD45A-2EB8-4DF3-8164-000497188A2D}"/>
  </bookViews>
  <sheets>
    <sheet name="Answers and Instructions" sheetId="15" r:id="rId1"/>
    <sheet name="Output Report" sheetId="14" r:id="rId2"/>
    <sheet name="Inputs" sheetId="1" r:id="rId3"/>
    <sheet name="Model" sheetId="3" r:id="rId4"/>
    <sheet name="sensitivity" sheetId="2" r:id="rId5"/>
    <sheet name="Calculation menu" sheetId="4" state="hidden" r:id="rId6"/>
    <sheet name="MC_data" sheetId="10" state="hidden" r:id="rId7"/>
    <sheet name="MC_fake" sheetId="13" state="hidden" r:id="rId8"/>
    <sheet name="MC_hist" sheetId="11" state="hidden" r:id="rId9"/>
  </sheets>
  <definedNames>
    <definedName name="_f1">'Output Report'!$A$36</definedName>
    <definedName name="_f2">'Output Report'!$A$37</definedName>
    <definedName name="_f3">'Output Report'!$A$38</definedName>
    <definedName name="_f4">'Output Report'!$A$39</definedName>
    <definedName name="_f5">'Output Report'!$A$40</definedName>
    <definedName name="break_even_table">Table1[]</definedName>
    <definedName name="building_time">'Calculation menu'!$B$16</definedName>
    <definedName name="CDCF">Model!$B$18:$O$18</definedName>
    <definedName name="CF">Model!$B$15:$O$15</definedName>
    <definedName name="changes">'Output Report'!$B$24:$D$28</definedName>
    <definedName name="com_prob">OFFSET(MC_hist!$E$1,1,0,MC_hist!$L$1-2,1)</definedName>
    <definedName name="construction">'Calculation menu'!$B$15</definedName>
    <definedName name="data_sim">MC_data!$A:$A</definedName>
    <definedName name="DCF">Model!$B$17:$O$17</definedName>
    <definedName name="depr_perc">Inputs!$F$36</definedName>
    <definedName name="depreciation1">'Calculation menu'!$B$26</definedName>
    <definedName name="depreciation2">'Calculation menu'!$B$27</definedName>
    <definedName name="dpp">Model!$B$23</definedName>
    <definedName name="Economic_boom">'Output Report'!$B$23:$C$23</definedName>
    <definedName name="ind_selec">'Calculation menu'!$I$9:$I$13</definedName>
    <definedName name="indicators">'Calculation menu'!$E$2:$E$19</definedName>
    <definedName name="inflation_rate">'Calculation menu'!$B$11</definedName>
    <definedName name="irr">Model!$B$21</definedName>
    <definedName name="iterations">'Output Report'!$H$70</definedName>
    <definedName name="lifetime">'Calculation menu'!$B$13</definedName>
    <definedName name="multi1">sensitivity!$B$3</definedName>
    <definedName name="multi2">sensitivity!$B$4</definedName>
    <definedName name="multi3">sensitivity!$B$5</definedName>
    <definedName name="multi4">sensitivity!$B$6</definedName>
    <definedName name="multi5">sensitivity!$B$7</definedName>
    <definedName name="neg_range">OFFSET(MC_hist!$F$1,1,0,MC_hist!$L$1-1,1)</definedName>
    <definedName name="neg_range_cum">OFFSET(MC_hist!$G$1,1,0,MC_hist!$L$1-2,1)</definedName>
    <definedName name="nominal_rate">'Calculation menu'!$B$10</definedName>
    <definedName name="npv">Model!$B$20</definedName>
    <definedName name="period">'Calculation menu'!$B$2:$B$4</definedName>
    <definedName name="pi">Model!$B$22</definedName>
    <definedName name="price">'Calculation menu'!$B$18</definedName>
    <definedName name="_xlnm.Print_Area" localSheetId="1">'Output Report'!$A$1:$I$98</definedName>
    <definedName name="probab">OFFSET(MC_hist!$D$1,1,0,MC_hist!$L$1-1,1)</definedName>
    <definedName name="quantitiy2">'Calculation menu'!$B$21</definedName>
    <definedName name="quantity1">'Calculation menu'!$B$20</definedName>
    <definedName name="quantity3">'Calculation menu'!$B$22</definedName>
    <definedName name="range_prob">OFFSET(MC_hist!$B$1,1,0,MC_hist!$L$1-1,1)</definedName>
    <definedName name="real_wacc">'Calculation menu'!$B$12</definedName>
    <definedName name="scen_chosen">'Output Report'!$B$22:$D$22</definedName>
    <definedName name="scen_var">'Output Report'!$A$24:$A$28</definedName>
    <definedName name="scenario">'Output Report'!$A$21</definedName>
    <definedName name="scenarios">'Calculation menu'!$I$2:$I$4</definedName>
    <definedName name="scrap">'Calculation menu'!$B$17</definedName>
    <definedName name="sensitivity_factors">'Output Report'!$A$36:$A$40</definedName>
    <definedName name="tax_rate">'Calculation menu'!$B$14</definedName>
    <definedName name="vr_cost">'Calculation menu'!$B$19</definedName>
    <definedName name="wc_1">'Calculation menu'!$B$23</definedName>
    <definedName name="wc_2">'Calculation menu'!$B$24</definedName>
    <definedName name="wc_3">'Calculation menu'!$B$25</definedName>
    <definedName name="years">Model!$B$1:$P$1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 i="11" l="1" a="1"/>
  <c r="Q5" i="11" s="1"/>
  <c r="L1" i="11"/>
  <c r="C2" i="11"/>
  <c r="B3" i="11"/>
  <c r="B2" i="11"/>
  <c r="B22" i="3"/>
  <c r="M8" i="11"/>
  <c r="A7" i="2"/>
  <c r="A6" i="2"/>
  <c r="A5" i="2"/>
  <c r="A4" i="2"/>
  <c r="A3" i="2"/>
  <c r="D2" i="11" l="1"/>
  <c r="E2" i="11" s="1"/>
  <c r="G2" i="11" s="1"/>
  <c r="F36" i="1"/>
  <c r="D49" i="13"/>
  <c r="E49" i="13"/>
  <c r="F49" i="13"/>
  <c r="G49" i="13"/>
  <c r="H49" i="13"/>
  <c r="I49" i="13"/>
  <c r="J49" i="13"/>
  <c r="K49" i="13"/>
  <c r="L49" i="13"/>
  <c r="M49" i="13"/>
  <c r="N49" i="13"/>
  <c r="O49" i="13"/>
  <c r="P49" i="13"/>
  <c r="G32" i="13"/>
  <c r="F36" i="13"/>
  <c r="C52" i="13"/>
  <c r="D52" i="13"/>
  <c r="E52" i="13"/>
  <c r="F52" i="13"/>
  <c r="G52" i="13"/>
  <c r="H52" i="13"/>
  <c r="I52" i="13"/>
  <c r="J52" i="13"/>
  <c r="K52" i="13"/>
  <c r="L52" i="13"/>
  <c r="M52" i="13"/>
  <c r="N52" i="13"/>
  <c r="O52" i="13"/>
  <c r="B52" i="13"/>
  <c r="G36" i="13"/>
  <c r="E74" i="14"/>
  <c r="F27" i="13" s="1"/>
  <c r="B4" i="14"/>
  <c r="E70" i="14"/>
  <c r="A32" i="3"/>
  <c r="A31" i="3"/>
  <c r="E71" i="14"/>
  <c r="E72" i="14"/>
  <c r="E73" i="14"/>
  <c r="F26" i="13" s="1"/>
  <c r="F2" i="11" l="1"/>
  <c r="F21" i="14" a="1"/>
  <c r="F21" i="14" s="1"/>
  <c r="A30" i="3"/>
  <c r="M6" i="11"/>
  <c r="M5" i="11"/>
  <c r="B79" i="14"/>
  <c r="G79" i="14"/>
  <c r="G78" i="14"/>
  <c r="B78" i="14"/>
  <c r="C1001" i="11"/>
  <c r="D1001" i="11"/>
  <c r="E1001" i="11"/>
  <c r="A302" i="11"/>
  <c r="A303" i="11"/>
  <c r="A304" i="11"/>
  <c r="A305" i="11"/>
  <c r="A306" i="11"/>
  <c r="A307" i="11"/>
  <c r="A308" i="11"/>
  <c r="A309" i="11"/>
  <c r="A310" i="11"/>
  <c r="A311" i="11"/>
  <c r="A312" i="11"/>
  <c r="A313" i="11"/>
  <c r="A314" i="11"/>
  <c r="A315" i="11"/>
  <c r="A316" i="11"/>
  <c r="A317" i="11"/>
  <c r="A318" i="11"/>
  <c r="A319" i="11"/>
  <c r="A320" i="11"/>
  <c r="A321" i="11"/>
  <c r="A322" i="11"/>
  <c r="A323" i="11"/>
  <c r="A324" i="11"/>
  <c r="A325" i="11"/>
  <c r="A326" i="11"/>
  <c r="A327" i="11"/>
  <c r="A328" i="11"/>
  <c r="A329" i="11"/>
  <c r="A330" i="11"/>
  <c r="A331" i="11"/>
  <c r="A332" i="11"/>
  <c r="A333" i="11"/>
  <c r="A334" i="11"/>
  <c r="A335" i="11"/>
  <c r="A336" i="11"/>
  <c r="A337" i="11"/>
  <c r="A338" i="11"/>
  <c r="A339" i="11"/>
  <c r="A340" i="11"/>
  <c r="A341" i="11"/>
  <c r="A342" i="11"/>
  <c r="A343" i="11"/>
  <c r="A344" i="11"/>
  <c r="A345" i="11"/>
  <c r="A346" i="11"/>
  <c r="A347" i="11"/>
  <c r="A348" i="11"/>
  <c r="A349" i="11"/>
  <c r="A350" i="11"/>
  <c r="A351" i="11"/>
  <c r="A352" i="11"/>
  <c r="A353" i="11"/>
  <c r="A354" i="11"/>
  <c r="A355" i="11"/>
  <c r="A356" i="11"/>
  <c r="A357" i="11"/>
  <c r="A358" i="11"/>
  <c r="A359" i="11"/>
  <c r="A360" i="11"/>
  <c r="A361" i="11"/>
  <c r="A362" i="11"/>
  <c r="A363" i="11"/>
  <c r="A364" i="11"/>
  <c r="A365" i="11"/>
  <c r="A366" i="11"/>
  <c r="A367" i="11"/>
  <c r="A368" i="11"/>
  <c r="A369" i="11"/>
  <c r="A370" i="11"/>
  <c r="A371" i="11"/>
  <c r="A372" i="11"/>
  <c r="A373" i="11"/>
  <c r="A374" i="11"/>
  <c r="A375" i="11"/>
  <c r="A376" i="11"/>
  <c r="A377" i="11"/>
  <c r="A378" i="11"/>
  <c r="A379" i="11"/>
  <c r="A380" i="11"/>
  <c r="A381" i="11"/>
  <c r="A382" i="11"/>
  <c r="A383" i="11"/>
  <c r="A384" i="11"/>
  <c r="A385" i="11"/>
  <c r="A386" i="11"/>
  <c r="A387" i="11"/>
  <c r="A388" i="11"/>
  <c r="A389" i="11"/>
  <c r="A390" i="11"/>
  <c r="A391" i="11"/>
  <c r="A392" i="11"/>
  <c r="A393" i="11"/>
  <c r="A394" i="11"/>
  <c r="A395" i="11"/>
  <c r="A396" i="11"/>
  <c r="A397" i="11"/>
  <c r="A398" i="11"/>
  <c r="A399" i="11"/>
  <c r="A400" i="11"/>
  <c r="A401" i="11"/>
  <c r="A402" i="11"/>
  <c r="A403" i="11"/>
  <c r="A404" i="11"/>
  <c r="A405" i="11"/>
  <c r="A406" i="11"/>
  <c r="A407" i="11"/>
  <c r="A408" i="11"/>
  <c r="A409" i="11"/>
  <c r="A410" i="11"/>
  <c r="A411" i="11"/>
  <c r="A412" i="11"/>
  <c r="A413" i="11"/>
  <c r="A414" i="11"/>
  <c r="A415" i="11"/>
  <c r="A416" i="11"/>
  <c r="A417" i="11"/>
  <c r="A418" i="11"/>
  <c r="A419" i="11"/>
  <c r="A420" i="11"/>
  <c r="A421" i="11"/>
  <c r="A422" i="11"/>
  <c r="A423" i="11"/>
  <c r="A424" i="11"/>
  <c r="A425" i="11"/>
  <c r="A426" i="11"/>
  <c r="A427" i="11"/>
  <c r="A428" i="11"/>
  <c r="A429" i="11"/>
  <c r="A430" i="11"/>
  <c r="A431" i="11"/>
  <c r="A432" i="11"/>
  <c r="A433" i="11"/>
  <c r="A434" i="11"/>
  <c r="A435" i="11"/>
  <c r="A436" i="11"/>
  <c r="A437" i="11"/>
  <c r="A438" i="11"/>
  <c r="A439" i="11"/>
  <c r="A440" i="11"/>
  <c r="A441" i="11"/>
  <c r="A442" i="11"/>
  <c r="A443" i="11"/>
  <c r="A444" i="11"/>
  <c r="A445" i="11"/>
  <c r="A446" i="11"/>
  <c r="A447" i="11"/>
  <c r="A448" i="11"/>
  <c r="A449" i="11"/>
  <c r="A450" i="11"/>
  <c r="A451" i="11"/>
  <c r="A452" i="11"/>
  <c r="A453" i="11"/>
  <c r="A454" i="11"/>
  <c r="A455" i="11"/>
  <c r="A456" i="11"/>
  <c r="A457" i="11"/>
  <c r="A458" i="11"/>
  <c r="A459" i="11"/>
  <c r="A460" i="11"/>
  <c r="A461" i="11"/>
  <c r="A462" i="11"/>
  <c r="A463" i="11"/>
  <c r="A464" i="11"/>
  <c r="A465" i="11"/>
  <c r="A466" i="11"/>
  <c r="A467" i="11"/>
  <c r="A468" i="11"/>
  <c r="A469" i="11"/>
  <c r="A470" i="11"/>
  <c r="A471" i="11"/>
  <c r="A472" i="11"/>
  <c r="A473" i="11"/>
  <c r="A474" i="11"/>
  <c r="A475" i="11"/>
  <c r="A476" i="11"/>
  <c r="A477" i="11"/>
  <c r="A478" i="11"/>
  <c r="A479" i="11"/>
  <c r="A480" i="11"/>
  <c r="A481" i="11"/>
  <c r="A482" i="11"/>
  <c r="A483" i="11"/>
  <c r="A484" i="11"/>
  <c r="A485" i="11"/>
  <c r="A486" i="11"/>
  <c r="A487" i="11"/>
  <c r="A488" i="11"/>
  <c r="A489" i="11"/>
  <c r="A490" i="11"/>
  <c r="A491" i="11"/>
  <c r="A492" i="11"/>
  <c r="A493" i="11"/>
  <c r="A494" i="11"/>
  <c r="A495" i="11"/>
  <c r="A496" i="11"/>
  <c r="A497" i="11"/>
  <c r="A498" i="11"/>
  <c r="A499" i="11"/>
  <c r="A500" i="11"/>
  <c r="A501" i="11"/>
  <c r="A502" i="11"/>
  <c r="A503" i="11"/>
  <c r="A504" i="11"/>
  <c r="A505" i="11"/>
  <c r="A506" i="11"/>
  <c r="A507" i="11"/>
  <c r="A508" i="11"/>
  <c r="A509" i="11"/>
  <c r="A510" i="11"/>
  <c r="A511" i="11"/>
  <c r="A512" i="11"/>
  <c r="A513" i="11"/>
  <c r="A514" i="11"/>
  <c r="A515" i="11"/>
  <c r="A516" i="11"/>
  <c r="A517" i="11"/>
  <c r="A518" i="11"/>
  <c r="A519" i="11"/>
  <c r="A520" i="11"/>
  <c r="A521" i="11"/>
  <c r="A522" i="11"/>
  <c r="A523" i="11"/>
  <c r="A524" i="11"/>
  <c r="A525" i="11"/>
  <c r="A526" i="11"/>
  <c r="A527" i="11"/>
  <c r="A528" i="11"/>
  <c r="A529" i="11"/>
  <c r="A530" i="11"/>
  <c r="A531" i="11"/>
  <c r="A532" i="11"/>
  <c r="A533" i="11"/>
  <c r="A534" i="11"/>
  <c r="A535" i="11"/>
  <c r="A536" i="11"/>
  <c r="A537" i="11"/>
  <c r="A538" i="11"/>
  <c r="A539" i="11"/>
  <c r="A540" i="11"/>
  <c r="A541" i="11"/>
  <c r="A542" i="11"/>
  <c r="A543" i="11"/>
  <c r="A544" i="11"/>
  <c r="A545" i="11"/>
  <c r="A546" i="11"/>
  <c r="A547" i="11"/>
  <c r="A548" i="11"/>
  <c r="A549" i="11"/>
  <c r="A550" i="11"/>
  <c r="A551" i="11"/>
  <c r="A552" i="11"/>
  <c r="A553" i="11"/>
  <c r="A554" i="11"/>
  <c r="A555" i="11"/>
  <c r="A556" i="11"/>
  <c r="A557" i="11"/>
  <c r="A558" i="11"/>
  <c r="A559" i="11"/>
  <c r="A560" i="11"/>
  <c r="A561" i="11"/>
  <c r="A562" i="11"/>
  <c r="A563" i="11"/>
  <c r="A564" i="11"/>
  <c r="A565" i="11"/>
  <c r="A566" i="11"/>
  <c r="A567" i="11"/>
  <c r="A568" i="11"/>
  <c r="A569" i="11"/>
  <c r="A570" i="11"/>
  <c r="A571" i="11"/>
  <c r="A572" i="11"/>
  <c r="A573" i="11"/>
  <c r="A574" i="11"/>
  <c r="A575" i="11"/>
  <c r="A576" i="11"/>
  <c r="A577" i="11"/>
  <c r="A578" i="11"/>
  <c r="A579" i="11"/>
  <c r="A580" i="11"/>
  <c r="A581" i="11"/>
  <c r="A582" i="11"/>
  <c r="A583" i="11"/>
  <c r="A584" i="11"/>
  <c r="A585" i="11"/>
  <c r="A586" i="11"/>
  <c r="A587" i="11"/>
  <c r="A588" i="11"/>
  <c r="A589" i="11"/>
  <c r="A590" i="11"/>
  <c r="A591" i="11"/>
  <c r="A592" i="11"/>
  <c r="A593" i="11"/>
  <c r="A594" i="11"/>
  <c r="A595" i="11"/>
  <c r="A596" i="11"/>
  <c r="A597" i="11"/>
  <c r="A598" i="11"/>
  <c r="A599" i="11"/>
  <c r="A600" i="11"/>
  <c r="A601" i="11"/>
  <c r="A602" i="11"/>
  <c r="A603" i="11"/>
  <c r="A604" i="11"/>
  <c r="A605" i="11"/>
  <c r="A606" i="11"/>
  <c r="A607" i="11"/>
  <c r="A608" i="11"/>
  <c r="A609" i="11"/>
  <c r="A610" i="11"/>
  <c r="A611" i="11"/>
  <c r="A612" i="11"/>
  <c r="A613" i="11"/>
  <c r="A614" i="11"/>
  <c r="A615" i="11"/>
  <c r="A616" i="11"/>
  <c r="A617" i="11"/>
  <c r="A618" i="11"/>
  <c r="A619" i="11"/>
  <c r="A620" i="11"/>
  <c r="A621" i="11"/>
  <c r="A622" i="11"/>
  <c r="A623" i="11"/>
  <c r="A624" i="11"/>
  <c r="A625" i="11"/>
  <c r="A626" i="11"/>
  <c r="A627" i="11"/>
  <c r="A628" i="11"/>
  <c r="A629" i="11"/>
  <c r="A630" i="11"/>
  <c r="A631" i="11"/>
  <c r="A632" i="11"/>
  <c r="A633" i="11"/>
  <c r="A634" i="11"/>
  <c r="A635" i="11"/>
  <c r="A636" i="11"/>
  <c r="A637" i="11"/>
  <c r="A638" i="11"/>
  <c r="A639" i="11"/>
  <c r="A640" i="11"/>
  <c r="A641" i="11"/>
  <c r="A642" i="11"/>
  <c r="A643" i="11"/>
  <c r="A644" i="11"/>
  <c r="A645" i="11"/>
  <c r="A646" i="11"/>
  <c r="A647" i="11"/>
  <c r="A648" i="11"/>
  <c r="A649" i="11"/>
  <c r="A650" i="11"/>
  <c r="A651" i="11"/>
  <c r="A652" i="11"/>
  <c r="A653" i="11"/>
  <c r="A654" i="11"/>
  <c r="A655" i="11"/>
  <c r="A656" i="11"/>
  <c r="A657" i="11"/>
  <c r="A658" i="11"/>
  <c r="A659" i="11"/>
  <c r="A660" i="11"/>
  <c r="A661" i="11"/>
  <c r="A662" i="11"/>
  <c r="A663" i="11"/>
  <c r="A664" i="11"/>
  <c r="A665" i="11"/>
  <c r="A666" i="11"/>
  <c r="A667" i="11"/>
  <c r="A668" i="11"/>
  <c r="A669" i="11"/>
  <c r="A670" i="11"/>
  <c r="A671" i="11"/>
  <c r="A672" i="11"/>
  <c r="A673" i="11"/>
  <c r="A674" i="11"/>
  <c r="A675" i="11"/>
  <c r="A676" i="11"/>
  <c r="A677" i="11"/>
  <c r="A678" i="11"/>
  <c r="A679" i="11"/>
  <c r="A680" i="11"/>
  <c r="A681" i="11"/>
  <c r="A682" i="11"/>
  <c r="A683" i="11"/>
  <c r="A684" i="11"/>
  <c r="A685" i="11"/>
  <c r="A686" i="11"/>
  <c r="A687" i="11"/>
  <c r="A688" i="11"/>
  <c r="A689" i="11"/>
  <c r="A690" i="11"/>
  <c r="A691" i="11"/>
  <c r="A692" i="11"/>
  <c r="A693" i="11"/>
  <c r="A694" i="11"/>
  <c r="A695" i="11"/>
  <c r="A696" i="11"/>
  <c r="A697" i="11"/>
  <c r="A698" i="11"/>
  <c r="A699" i="11"/>
  <c r="A700" i="11"/>
  <c r="A701" i="11"/>
  <c r="A702" i="11"/>
  <c r="A703" i="11"/>
  <c r="A704" i="11"/>
  <c r="A705" i="11"/>
  <c r="A706" i="11"/>
  <c r="A707" i="11"/>
  <c r="A708" i="11"/>
  <c r="A709" i="11"/>
  <c r="A710" i="11"/>
  <c r="A711" i="11"/>
  <c r="A712" i="11"/>
  <c r="A713" i="11"/>
  <c r="A714" i="11"/>
  <c r="A715" i="11"/>
  <c r="A716" i="11"/>
  <c r="A717" i="11"/>
  <c r="A718" i="11"/>
  <c r="A719" i="11"/>
  <c r="A720" i="11"/>
  <c r="A721" i="11"/>
  <c r="A722" i="11"/>
  <c r="A723" i="11"/>
  <c r="A724" i="11"/>
  <c r="A725" i="11"/>
  <c r="A726" i="11"/>
  <c r="A727" i="11"/>
  <c r="A728" i="11"/>
  <c r="A729" i="11"/>
  <c r="A730" i="11"/>
  <c r="A731" i="11"/>
  <c r="A732" i="11"/>
  <c r="A733" i="11"/>
  <c r="A734" i="11"/>
  <c r="A735" i="11"/>
  <c r="A736" i="11"/>
  <c r="A737" i="11"/>
  <c r="A738" i="11"/>
  <c r="A739" i="11"/>
  <c r="A740" i="11"/>
  <c r="A741" i="11"/>
  <c r="A742" i="11"/>
  <c r="A743" i="11"/>
  <c r="A744" i="11"/>
  <c r="A745" i="11"/>
  <c r="A746" i="11"/>
  <c r="A747" i="11"/>
  <c r="A748" i="11"/>
  <c r="A749" i="11"/>
  <c r="A750" i="11"/>
  <c r="A751" i="11"/>
  <c r="A752" i="11"/>
  <c r="A753" i="11"/>
  <c r="A754" i="11"/>
  <c r="A755" i="11"/>
  <c r="A756" i="11"/>
  <c r="A757" i="11"/>
  <c r="A758" i="11"/>
  <c r="A759" i="11"/>
  <c r="A760" i="11"/>
  <c r="A761" i="11"/>
  <c r="A762" i="11"/>
  <c r="A763" i="11"/>
  <c r="A764" i="11"/>
  <c r="A765" i="11"/>
  <c r="A766" i="11"/>
  <c r="A767" i="11"/>
  <c r="A768" i="11"/>
  <c r="A769" i="11"/>
  <c r="A770" i="11"/>
  <c r="A771" i="11"/>
  <c r="A772" i="11"/>
  <c r="A773"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98" i="11"/>
  <c r="A799"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824" i="11"/>
  <c r="A825"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50" i="11"/>
  <c r="A851" i="11"/>
  <c r="A852" i="11"/>
  <c r="A853" i="11"/>
  <c r="A854" i="11"/>
  <c r="A855" i="11"/>
  <c r="A856" i="11"/>
  <c r="A857" i="11"/>
  <c r="A858" i="11"/>
  <c r="A859" i="11"/>
  <c r="A860" i="11"/>
  <c r="A861" i="11"/>
  <c r="A862" i="11"/>
  <c r="A863" i="11"/>
  <c r="A864" i="11"/>
  <c r="A865" i="11"/>
  <c r="A866" i="11"/>
  <c r="A867" i="11"/>
  <c r="A868" i="11"/>
  <c r="A869" i="11"/>
  <c r="A870" i="11"/>
  <c r="A871" i="11"/>
  <c r="A872" i="11"/>
  <c r="A873" i="11"/>
  <c r="A874" i="11"/>
  <c r="A875" i="11"/>
  <c r="A876" i="11"/>
  <c r="A877" i="11"/>
  <c r="A878" i="11"/>
  <c r="A879" i="11"/>
  <c r="A880" i="11"/>
  <c r="A881" i="11"/>
  <c r="A882" i="11"/>
  <c r="A883" i="11"/>
  <c r="A884" i="11"/>
  <c r="A885" i="11"/>
  <c r="A886" i="11"/>
  <c r="A887" i="11"/>
  <c r="A888" i="11"/>
  <c r="A889" i="11"/>
  <c r="A890" i="11"/>
  <c r="A891" i="11"/>
  <c r="A892" i="11"/>
  <c r="A893" i="11"/>
  <c r="A894" i="11"/>
  <c r="A895" i="11"/>
  <c r="A896" i="11"/>
  <c r="A897" i="11"/>
  <c r="A898" i="11"/>
  <c r="A899" i="11"/>
  <c r="A900" i="11"/>
  <c r="A901" i="11"/>
  <c r="A902" i="11"/>
  <c r="A903" i="11"/>
  <c r="A904" i="11"/>
  <c r="A905" i="11"/>
  <c r="A906" i="11"/>
  <c r="A907" i="11"/>
  <c r="A908" i="11"/>
  <c r="A909" i="11"/>
  <c r="A910" i="11"/>
  <c r="A911" i="11"/>
  <c r="A912" i="11"/>
  <c r="A913" i="11"/>
  <c r="A914" i="11"/>
  <c r="A915" i="11"/>
  <c r="A916" i="11"/>
  <c r="A917" i="11"/>
  <c r="A918" i="11"/>
  <c r="A919" i="11"/>
  <c r="A920" i="11"/>
  <c r="A921" i="11"/>
  <c r="A922" i="11"/>
  <c r="A923" i="11"/>
  <c r="A924" i="11"/>
  <c r="A925" i="11"/>
  <c r="A926" i="11"/>
  <c r="A927" i="11"/>
  <c r="A928" i="11"/>
  <c r="A929" i="11"/>
  <c r="A930" i="11"/>
  <c r="A931" i="11"/>
  <c r="A932" i="11"/>
  <c r="A933" i="11"/>
  <c r="A934" i="11"/>
  <c r="A935" i="11"/>
  <c r="A936" i="11"/>
  <c r="A937" i="11"/>
  <c r="A938" i="11"/>
  <c r="A939" i="11"/>
  <c r="A940" i="11"/>
  <c r="A941" i="11"/>
  <c r="A942" i="11"/>
  <c r="A943" i="11"/>
  <c r="A944" i="11"/>
  <c r="A945" i="11"/>
  <c r="A946" i="11"/>
  <c r="A947" i="11"/>
  <c r="A948" i="11"/>
  <c r="A949" i="11"/>
  <c r="A950" i="11"/>
  <c r="A951" i="11"/>
  <c r="A952" i="11"/>
  <c r="A953" i="11"/>
  <c r="A954" i="11"/>
  <c r="A955" i="11"/>
  <c r="A956" i="11"/>
  <c r="A957" i="11"/>
  <c r="A958" i="11"/>
  <c r="A959" i="11"/>
  <c r="A960" i="11"/>
  <c r="A961" i="11"/>
  <c r="A962" i="11"/>
  <c r="A963" i="11"/>
  <c r="A964" i="11"/>
  <c r="A965" i="11"/>
  <c r="A966" i="11"/>
  <c r="A967" i="11"/>
  <c r="A968" i="11"/>
  <c r="A969" i="11"/>
  <c r="A970" i="11"/>
  <c r="A971" i="11"/>
  <c r="A972" i="11"/>
  <c r="A973" i="11"/>
  <c r="A974" i="11"/>
  <c r="A975" i="11"/>
  <c r="A976" i="11"/>
  <c r="A977" i="11"/>
  <c r="A978" i="11"/>
  <c r="A979" i="11"/>
  <c r="A980" i="11"/>
  <c r="A981" i="11"/>
  <c r="A982" i="11"/>
  <c r="A983" i="11"/>
  <c r="A984" i="11"/>
  <c r="A985" i="11"/>
  <c r="A986" i="11"/>
  <c r="A987" i="11"/>
  <c r="A988" i="11"/>
  <c r="A989" i="11"/>
  <c r="A990" i="11"/>
  <c r="A991" i="11"/>
  <c r="A992" i="11"/>
  <c r="A993" i="11"/>
  <c r="A994" i="11"/>
  <c r="A995" i="11"/>
  <c r="A996" i="11"/>
  <c r="A997" i="11"/>
  <c r="A998" i="11"/>
  <c r="A999" i="11"/>
  <c r="A1000" i="11"/>
  <c r="A1001" i="11"/>
  <c r="A3" i="11"/>
  <c r="A4" i="11"/>
  <c r="A5" i="11"/>
  <c r="A6" i="11"/>
  <c r="A7" i="11"/>
  <c r="A8" i="11"/>
  <c r="A9" i="11"/>
  <c r="A10" i="11"/>
  <c r="A11" i="11"/>
  <c r="A12"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A301" i="11"/>
  <c r="A2" i="11"/>
  <c r="F22" i="14" l="1" a="1"/>
  <c r="F22" i="14" s="1"/>
  <c r="M7" i="11"/>
  <c r="M10" i="11"/>
  <c r="G27" i="13"/>
  <c r="G26" i="13"/>
  <c r="B23" i="13"/>
  <c r="C23" i="13" s="1"/>
  <c r="B10" i="13"/>
  <c r="B22" i="13"/>
  <c r="C22" i="13" s="1"/>
  <c r="P44" i="13"/>
  <c r="P51" i="13" s="1"/>
  <c r="P41" i="13"/>
  <c r="P42" i="13"/>
  <c r="I50" i="13"/>
  <c r="J50" i="13"/>
  <c r="P50" i="13"/>
  <c r="C14" i="13"/>
  <c r="C12" i="13"/>
  <c r="C13" i="13"/>
  <c r="C15" i="13"/>
  <c r="C9" i="13"/>
  <c r="G35" i="13"/>
  <c r="N50" i="13"/>
  <c r="G31" i="13"/>
  <c r="H50" i="13" s="1"/>
  <c r="G30" i="13"/>
  <c r="B50" i="13" s="1"/>
  <c r="G25" i="13"/>
  <c r="P6" i="3"/>
  <c r="P4" i="3"/>
  <c r="P3" i="3"/>
  <c r="P11" i="3"/>
  <c r="P12" i="3"/>
  <c r="I11" i="4"/>
  <c r="I13" i="4"/>
  <c r="I12" i="4"/>
  <c r="I10" i="4"/>
  <c r="I9" i="4"/>
  <c r="I2" i="4" a="1"/>
  <c r="I2" i="4" s="1"/>
  <c r="G30" i="1"/>
  <c r="B23" i="4" s="1"/>
  <c r="G31" i="1"/>
  <c r="B24" i="4" s="1"/>
  <c r="G32" i="1"/>
  <c r="B25" i="4" s="1"/>
  <c r="G35" i="1"/>
  <c r="B26" i="4" s="1"/>
  <c r="G36" i="1"/>
  <c r="B27" i="4" s="1"/>
  <c r="G26" i="1"/>
  <c r="B21" i="4" s="1"/>
  <c r="G27" i="1"/>
  <c r="B22" i="4" s="1"/>
  <c r="G25" i="1"/>
  <c r="B20" i="4" s="1"/>
  <c r="C23" i="1"/>
  <c r="C22" i="1"/>
  <c r="C10" i="1"/>
  <c r="C12" i="1"/>
  <c r="B13" i="4" s="1"/>
  <c r="C13" i="1"/>
  <c r="B14" i="4" s="1"/>
  <c r="C14" i="1"/>
  <c r="B15" i="4" s="1"/>
  <c r="C15" i="1"/>
  <c r="B16" i="4" s="1"/>
  <c r="C9" i="1"/>
  <c r="B10" i="4" s="1"/>
  <c r="B11" i="1"/>
  <c r="I12" i="3"/>
  <c r="J12" i="3"/>
  <c r="C14" i="3"/>
  <c r="D14" i="3"/>
  <c r="E14" i="3"/>
  <c r="F14" i="3"/>
  <c r="G14" i="3"/>
  <c r="H14" i="3"/>
  <c r="I14" i="3"/>
  <c r="J14" i="3"/>
  <c r="K14" i="3"/>
  <c r="L14" i="3"/>
  <c r="M14" i="3"/>
  <c r="N14" i="3"/>
  <c r="B14" i="3"/>
  <c r="E18" i="4" a="1"/>
  <c r="E18" i="4" s="1"/>
  <c r="E15" i="4" a="1"/>
  <c r="E15" i="4" s="1"/>
  <c r="E12" i="4" a="1"/>
  <c r="E12" i="4" s="1"/>
  <c r="E10" i="4" a="1"/>
  <c r="E10" i="4" s="1"/>
  <c r="E2" i="4" a="1"/>
  <c r="E2" i="4" s="1"/>
  <c r="D11" i="3"/>
  <c r="E11" i="3"/>
  <c r="F11" i="3"/>
  <c r="G11" i="3"/>
  <c r="H11" i="3"/>
  <c r="I11" i="3"/>
  <c r="J11" i="3"/>
  <c r="K11" i="3"/>
  <c r="L11" i="3"/>
  <c r="M11" i="3"/>
  <c r="N11" i="3"/>
  <c r="O11" i="3"/>
  <c r="B72" i="14" l="1"/>
  <c r="B11" i="4"/>
  <c r="B70" i="14"/>
  <c r="B18" i="4"/>
  <c r="B71" i="14"/>
  <c r="B19" i="4"/>
  <c r="E19" i="13"/>
  <c r="D44" i="13"/>
  <c r="D51" i="13" s="1"/>
  <c r="M9" i="11"/>
  <c r="F50" i="13"/>
  <c r="G50" i="13"/>
  <c r="E50" i="13"/>
  <c r="C50" i="13"/>
  <c r="M50" i="13"/>
  <c r="E44" i="13"/>
  <c r="L50" i="13"/>
  <c r="D50" i="13"/>
  <c r="K50" i="13"/>
  <c r="O50" i="13"/>
  <c r="F42" i="13"/>
  <c r="N42" i="13"/>
  <c r="G42" i="13"/>
  <c r="O42" i="13"/>
  <c r="I42" i="13"/>
  <c r="B42" i="13"/>
  <c r="J42" i="13"/>
  <c r="E42" i="13"/>
  <c r="H42" i="13"/>
  <c r="C42" i="13"/>
  <c r="K42" i="13"/>
  <c r="D42" i="13"/>
  <c r="L42" i="13"/>
  <c r="M42" i="13"/>
  <c r="E41" i="13"/>
  <c r="M41" i="13"/>
  <c r="F41" i="13"/>
  <c r="N41" i="13"/>
  <c r="G41" i="13"/>
  <c r="O41" i="13"/>
  <c r="H41" i="13"/>
  <c r="B41" i="13"/>
  <c r="J41" i="13"/>
  <c r="I41" i="13"/>
  <c r="C41" i="13"/>
  <c r="K41" i="13"/>
  <c r="D41" i="13"/>
  <c r="L41" i="13"/>
  <c r="K44" i="13"/>
  <c r="K51" i="13" s="1"/>
  <c r="C44" i="13"/>
  <c r="C51" i="13" s="1"/>
  <c r="O44" i="13"/>
  <c r="O51" i="13" s="1"/>
  <c r="J44" i="13"/>
  <c r="J51" i="13" s="1"/>
  <c r="G44" i="13"/>
  <c r="G51" i="13" s="1"/>
  <c r="N44" i="13"/>
  <c r="N51" i="13" s="1"/>
  <c r="B44" i="13"/>
  <c r="B51" i="13" s="1"/>
  <c r="I44" i="13"/>
  <c r="I51" i="13" s="1"/>
  <c r="F44" i="13"/>
  <c r="F51" i="13" s="1"/>
  <c r="L44" i="13"/>
  <c r="L51" i="13" s="1"/>
  <c r="H44" i="13"/>
  <c r="H51" i="13" s="1"/>
  <c r="M44" i="13"/>
  <c r="M51" i="13" s="1"/>
  <c r="B11" i="13"/>
  <c r="C11" i="13" s="1"/>
  <c r="C10" i="13"/>
  <c r="P43" i="13"/>
  <c r="P45" i="13" s="1"/>
  <c r="P5" i="3"/>
  <c r="C11" i="1"/>
  <c r="B12" i="4" s="1"/>
  <c r="A10" i="4" a="1"/>
  <c r="C49" i="13" l="1"/>
  <c r="B49" i="13"/>
  <c r="E51" i="13"/>
  <c r="B16" i="13"/>
  <c r="M11" i="11"/>
  <c r="J43" i="13"/>
  <c r="J45" i="13" s="1"/>
  <c r="J46" i="13" s="1"/>
  <c r="J47" i="13" s="1"/>
  <c r="J53" i="13" s="1"/>
  <c r="J55" i="13" s="1"/>
  <c r="B43" i="13"/>
  <c r="B45" i="13" s="1"/>
  <c r="B46" i="13" s="1"/>
  <c r="O43" i="13"/>
  <c r="O45" i="13" s="1"/>
  <c r="O46" i="13" s="1"/>
  <c r="G43" i="13"/>
  <c r="G45" i="13" s="1"/>
  <c r="D43" i="13"/>
  <c r="D45" i="13" s="1"/>
  <c r="D46" i="13" s="1"/>
  <c r="N43" i="13"/>
  <c r="N45" i="13" s="1"/>
  <c r="I43" i="13"/>
  <c r="I45" i="13" s="1"/>
  <c r="I46" i="13" s="1"/>
  <c r="E43" i="13"/>
  <c r="E45" i="13" s="1"/>
  <c r="E46" i="13" s="1"/>
  <c r="E47" i="13" s="1"/>
  <c r="H43" i="13"/>
  <c r="H45" i="13" s="1"/>
  <c r="H46" i="13" s="1"/>
  <c r="H47" i="13" s="1"/>
  <c r="H53" i="13" s="1"/>
  <c r="H55" i="13" s="1"/>
  <c r="C43" i="13"/>
  <c r="C45" i="13" s="1"/>
  <c r="C46" i="13" s="1"/>
  <c r="M43" i="13"/>
  <c r="M45" i="13" s="1"/>
  <c r="M46" i="13" s="1"/>
  <c r="M47" i="13" s="1"/>
  <c r="M53" i="13" s="1"/>
  <c r="M55" i="13" s="1"/>
  <c r="K43" i="13"/>
  <c r="K45" i="13" s="1"/>
  <c r="K46" i="13" s="1"/>
  <c r="F43" i="13"/>
  <c r="F45" i="13" s="1"/>
  <c r="F46" i="13" s="1"/>
  <c r="L43" i="13"/>
  <c r="L45" i="13" s="1"/>
  <c r="L46" i="13" s="1"/>
  <c r="P46" i="13"/>
  <c r="P47" i="13" s="1"/>
  <c r="D6" i="3"/>
  <c r="B6" i="3"/>
  <c r="O14" i="3"/>
  <c r="A10" i="4"/>
  <c r="B4" i="11" l="1"/>
  <c r="B5" i="11" s="1"/>
  <c r="B6" i="11" s="1"/>
  <c r="B5" i="14"/>
  <c r="E53" i="13"/>
  <c r="E55" i="13" s="1"/>
  <c r="O47" i="13"/>
  <c r="O53" i="13" s="1"/>
  <c r="O55" i="13" s="1"/>
  <c r="D47" i="13"/>
  <c r="D53" i="13" s="1"/>
  <c r="D55" i="13" s="1"/>
  <c r="C47" i="13"/>
  <c r="L47" i="13"/>
  <c r="L53" i="13" s="1"/>
  <c r="L55" i="13" s="1"/>
  <c r="B47" i="13"/>
  <c r="K47" i="13"/>
  <c r="K53" i="13" s="1"/>
  <c r="K55" i="13" s="1"/>
  <c r="I47" i="13"/>
  <c r="I53" i="13" s="1"/>
  <c r="I55" i="13" s="1"/>
  <c r="N46" i="13"/>
  <c r="N47" i="13" s="1"/>
  <c r="N53" i="13" s="1"/>
  <c r="N55" i="13" s="1"/>
  <c r="G46" i="13"/>
  <c r="G47" i="13" s="1"/>
  <c r="G53" i="13" s="1"/>
  <c r="G55" i="13" s="1"/>
  <c r="F47" i="13"/>
  <c r="E6" i="3"/>
  <c r="E13" i="3" s="1"/>
  <c r="M6" i="3"/>
  <c r="M13" i="3" s="1"/>
  <c r="O6" i="3"/>
  <c r="O13" i="3" s="1"/>
  <c r="H6" i="3"/>
  <c r="H13" i="3" s="1"/>
  <c r="K6" i="3"/>
  <c r="K13" i="3" s="1"/>
  <c r="L6" i="3"/>
  <c r="L13" i="3" s="1"/>
  <c r="F6" i="3"/>
  <c r="F13" i="3" s="1"/>
  <c r="N6" i="3"/>
  <c r="N13" i="3" s="1"/>
  <c r="G6" i="3"/>
  <c r="G13" i="3" s="1"/>
  <c r="D13" i="3"/>
  <c r="I6" i="3"/>
  <c r="I13" i="3" s="1"/>
  <c r="J6" i="3"/>
  <c r="J13" i="3" s="1"/>
  <c r="C6" i="3"/>
  <c r="C13" i="3" s="1"/>
  <c r="B13" i="3"/>
  <c r="E19" i="1"/>
  <c r="B11" i="3" s="1"/>
  <c r="D3" i="3"/>
  <c r="D5" i="3" s="1"/>
  <c r="E4" i="3"/>
  <c r="F3" i="3"/>
  <c r="F4" i="3"/>
  <c r="E3" i="3"/>
  <c r="D4" i="3"/>
  <c r="K4" i="3"/>
  <c r="L3" i="3"/>
  <c r="L4" i="3"/>
  <c r="M4" i="3"/>
  <c r="N3" i="3"/>
  <c r="H4" i="3"/>
  <c r="N4" i="3"/>
  <c r="G3" i="3"/>
  <c r="O3" i="3"/>
  <c r="I3" i="3"/>
  <c r="G4" i="3"/>
  <c r="O4" i="3"/>
  <c r="H3" i="3"/>
  <c r="I4" i="3"/>
  <c r="J3" i="3"/>
  <c r="M3" i="3"/>
  <c r="J4" i="3"/>
  <c r="K3" i="3"/>
  <c r="C4" i="3"/>
  <c r="B3" i="3"/>
  <c r="B4" i="3"/>
  <c r="C3" i="3"/>
  <c r="K12" i="3"/>
  <c r="M12" i="3"/>
  <c r="L12" i="3"/>
  <c r="O12" i="3"/>
  <c r="N12" i="3"/>
  <c r="D12" i="3"/>
  <c r="E12" i="3"/>
  <c r="H12" i="3"/>
  <c r="G12" i="3"/>
  <c r="F12" i="3"/>
  <c r="C12" i="3"/>
  <c r="B12" i="3"/>
  <c r="C4" i="11" l="1"/>
  <c r="D4" i="11" s="1"/>
  <c r="F4" i="11" s="1"/>
  <c r="C3" i="11"/>
  <c r="D3" i="11" s="1"/>
  <c r="F3" i="11" s="1"/>
  <c r="C5" i="3"/>
  <c r="B16" i="1"/>
  <c r="C16" i="1" s="1"/>
  <c r="B17" i="4" s="1"/>
  <c r="C5" i="11"/>
  <c r="D5" i="11" s="1"/>
  <c r="B7" i="11"/>
  <c r="C53" i="13"/>
  <c r="C55" i="13" s="1"/>
  <c r="B53" i="13"/>
  <c r="B55" i="13" s="1"/>
  <c r="F53" i="13"/>
  <c r="C16" i="13"/>
  <c r="P52" i="13" s="1"/>
  <c r="P13" i="3"/>
  <c r="P7" i="3"/>
  <c r="P8" i="3" s="1"/>
  <c r="P9" i="3" s="1"/>
  <c r="E5" i="3"/>
  <c r="M5" i="3"/>
  <c r="M7" i="3" s="1"/>
  <c r="M8" i="3" s="1"/>
  <c r="M9" i="3" s="1"/>
  <c r="F5" i="3"/>
  <c r="F7" i="3" s="1"/>
  <c r="F8" i="3" s="1"/>
  <c r="F9" i="3" s="1"/>
  <c r="B5" i="3"/>
  <c r="B7" i="3" s="1"/>
  <c r="B8" i="3" s="1"/>
  <c r="B9" i="3" s="1"/>
  <c r="B15" i="3" s="1"/>
  <c r="C7" i="3"/>
  <c r="C8" i="3" s="1"/>
  <c r="C9" i="3" s="1"/>
  <c r="G5" i="3"/>
  <c r="G7" i="3" s="1"/>
  <c r="K5" i="3"/>
  <c r="K7" i="3" s="1"/>
  <c r="K8" i="3" s="1"/>
  <c r="K9" i="3" s="1"/>
  <c r="H5" i="3"/>
  <c r="H7" i="3" s="1"/>
  <c r="H8" i="3" s="1"/>
  <c r="H9" i="3" s="1"/>
  <c r="C11" i="3"/>
  <c r="D7" i="3"/>
  <c r="N5" i="3"/>
  <c r="N7" i="3" s="1"/>
  <c r="N8" i="3" s="1"/>
  <c r="N9" i="3" s="1"/>
  <c r="L5" i="3"/>
  <c r="L7" i="3" s="1"/>
  <c r="L8" i="3" s="1"/>
  <c r="L9" i="3" s="1"/>
  <c r="O5" i="3"/>
  <c r="O7" i="3" s="1"/>
  <c r="O8" i="3" s="1"/>
  <c r="O9" i="3" s="1"/>
  <c r="J5" i="3"/>
  <c r="J7" i="3" s="1"/>
  <c r="J8" i="3" s="1"/>
  <c r="J9" i="3" s="1"/>
  <c r="I5" i="3"/>
  <c r="I7" i="3" s="1"/>
  <c r="I8" i="3" s="1"/>
  <c r="I9" i="3" s="1"/>
  <c r="E4" i="11" l="1"/>
  <c r="G4" i="11" s="1"/>
  <c r="E3" i="11"/>
  <c r="G3" i="11" s="1"/>
  <c r="E7" i="3"/>
  <c r="E8" i="3" s="1"/>
  <c r="G8" i="3"/>
  <c r="G9" i="3" s="1"/>
  <c r="G15" i="3" s="1"/>
  <c r="G17" i="3" s="1"/>
  <c r="D8" i="3"/>
  <c r="D9" i="3" s="1"/>
  <c r="D15" i="3" s="1"/>
  <c r="D17" i="3" s="1"/>
  <c r="B56" i="13"/>
  <c r="F5" i="11"/>
  <c r="E5" i="11"/>
  <c r="G5" i="11" s="1"/>
  <c r="B8" i="11"/>
  <c r="C6" i="11"/>
  <c r="D6" i="11" s="1"/>
  <c r="C15" i="3"/>
  <c r="E56" i="13"/>
  <c r="C56" i="13"/>
  <c r="D56" i="13"/>
  <c r="F55" i="13"/>
  <c r="G56" i="13" s="1"/>
  <c r="I15" i="3"/>
  <c r="I17" i="3" s="1"/>
  <c r="O15" i="3"/>
  <c r="O17" i="3" s="1"/>
  <c r="L15" i="3"/>
  <c r="L17" i="3" s="1"/>
  <c r="B17" i="3"/>
  <c r="K15" i="3"/>
  <c r="K17" i="3" s="1"/>
  <c r="J15" i="3"/>
  <c r="J17" i="3" s="1"/>
  <c r="N15" i="3"/>
  <c r="N17" i="3" s="1"/>
  <c r="F15" i="3"/>
  <c r="F17" i="3" s="1"/>
  <c r="M15" i="3"/>
  <c r="M17" i="3" s="1"/>
  <c r="H15" i="3"/>
  <c r="H17" i="3" s="1"/>
  <c r="P14" i="3"/>
  <c r="E9" i="3" l="1"/>
  <c r="E15" i="3" s="1"/>
  <c r="E17" i="3" s="1"/>
  <c r="F6" i="11"/>
  <c r="C7" i="11"/>
  <c r="D7" i="11" s="1"/>
  <c r="F7" i="11" s="1"/>
  <c r="E6" i="11"/>
  <c r="G6" i="11" s="1"/>
  <c r="B9" i="11"/>
  <c r="P15" i="3"/>
  <c r="P17" i="3" s="1"/>
  <c r="P53" i="13"/>
  <c r="J56" i="13"/>
  <c r="K56" i="13"/>
  <c r="F56" i="13"/>
  <c r="H56" i="13"/>
  <c r="N56" i="13"/>
  <c r="M56" i="13"/>
  <c r="L56" i="13"/>
  <c r="I56" i="13"/>
  <c r="O56" i="13"/>
  <c r="C17" i="3"/>
  <c r="B18" i="3"/>
  <c r="P18" i="3" l="1"/>
  <c r="C8" i="11"/>
  <c r="D8" i="11" s="1"/>
  <c r="E7" i="11"/>
  <c r="G7" i="11" s="1"/>
  <c r="B10" i="11"/>
  <c r="B21" i="3"/>
  <c r="B9" i="14" s="1"/>
  <c r="P55" i="13"/>
  <c r="P56" i="13" s="1"/>
  <c r="B61" i="13" s="1" a="1"/>
  <c r="B61" i="13" s="1"/>
  <c r="B58" i="13"/>
  <c r="B60" i="13" s="1"/>
  <c r="B59" i="13"/>
  <c r="B20" i="3"/>
  <c r="B6" i="14" s="1"/>
  <c r="K18" i="3"/>
  <c r="D18" i="3"/>
  <c r="E18" i="3"/>
  <c r="F18" i="3"/>
  <c r="O18" i="3"/>
  <c r="L18" i="3"/>
  <c r="C18" i="3"/>
  <c r="G18" i="3"/>
  <c r="M18" i="3"/>
  <c r="I18" i="3"/>
  <c r="N18" i="3"/>
  <c r="J18" i="3"/>
  <c r="H18" i="3"/>
  <c r="H5" i="2" l="1"/>
  <c r="E8" i="11"/>
  <c r="G8" i="11" s="1"/>
  <c r="F8" i="11"/>
  <c r="C9" i="11"/>
  <c r="D9" i="11" s="1"/>
  <c r="B11" i="11"/>
  <c r="B23" i="3" a="1"/>
  <c r="B23" i="3" s="1"/>
  <c r="B7" i="14" s="1"/>
  <c r="H6" i="2"/>
  <c r="B8" i="14"/>
  <c r="H7" i="2"/>
  <c r="H4" i="2"/>
  <c r="H3" i="2"/>
  <c r="T6" i="2" l="1"/>
  <c r="C10" i="11"/>
  <c r="D10" i="11" s="1"/>
  <c r="E9" i="11"/>
  <c r="G9" i="11" s="1"/>
  <c r="F9" i="11"/>
  <c r="B12" i="11"/>
  <c r="T4" i="2"/>
  <c r="T5" i="2"/>
  <c r="T3" i="2"/>
  <c r="T7" i="2"/>
  <c r="E10" i="11" l="1"/>
  <c r="G10" i="11" s="1"/>
  <c r="F10" i="11"/>
  <c r="C11" i="11"/>
  <c r="D11" i="11" s="1"/>
  <c r="B13" i="11"/>
  <c r="E11" i="11" l="1"/>
  <c r="G11" i="11" s="1"/>
  <c r="F11" i="11"/>
  <c r="B14" i="11"/>
  <c r="C12" i="11"/>
  <c r="D12" i="11" s="1"/>
  <c r="E12" i="11" l="1"/>
  <c r="G12" i="11" s="1"/>
  <c r="F12" i="11"/>
  <c r="C13" i="11"/>
  <c r="D13" i="11" s="1"/>
  <c r="F13" i="11" s="1"/>
  <c r="B15" i="11"/>
  <c r="E13" i="11" l="1"/>
  <c r="G13" i="11" s="1"/>
  <c r="C14" i="11"/>
  <c r="D14" i="11" s="1"/>
  <c r="F14" i="11" s="1"/>
  <c r="B16" i="11"/>
  <c r="C15" i="11" l="1"/>
  <c r="D15" i="11" s="1"/>
  <c r="F15" i="11" s="1"/>
  <c r="E14" i="11"/>
  <c r="G14" i="11" s="1"/>
  <c r="B17" i="11"/>
  <c r="E15" i="11" l="1"/>
  <c r="G15" i="11" s="1"/>
  <c r="C16" i="11"/>
  <c r="D16" i="11" s="1"/>
  <c r="F16" i="11" s="1"/>
  <c r="B18" i="11"/>
  <c r="E16" i="11" l="1"/>
  <c r="G16" i="11" s="1"/>
  <c r="C17" i="11"/>
  <c r="D17" i="11" s="1"/>
  <c r="F17" i="11" s="1"/>
  <c r="B19" i="11"/>
  <c r="E17" i="11" l="1"/>
  <c r="G17" i="11" s="1"/>
  <c r="C18" i="11"/>
  <c r="D18" i="11" s="1"/>
  <c r="F18" i="11" s="1"/>
  <c r="B20" i="11"/>
  <c r="E18" i="11" l="1"/>
  <c r="G18" i="11" s="1"/>
  <c r="C19" i="11"/>
  <c r="D19" i="11" s="1"/>
  <c r="F19" i="11" s="1"/>
  <c r="B21" i="11"/>
  <c r="E19" i="11" l="1"/>
  <c r="G19" i="11" s="1"/>
  <c r="C20" i="11"/>
  <c r="D20" i="11" s="1"/>
  <c r="F20" i="11" s="1"/>
  <c r="B22" i="11"/>
  <c r="E20" i="11" l="1"/>
  <c r="G20" i="11" s="1"/>
  <c r="C21" i="11"/>
  <c r="D21" i="11" s="1"/>
  <c r="F21" i="11" s="1"/>
  <c r="B23" i="11"/>
  <c r="E21" i="11" l="1"/>
  <c r="G21" i="11" s="1"/>
  <c r="C22" i="11"/>
  <c r="D22" i="11" s="1"/>
  <c r="F22" i="11" s="1"/>
  <c r="B24" i="11"/>
  <c r="E22" i="11" l="1"/>
  <c r="G22" i="11" s="1"/>
  <c r="C23" i="11"/>
  <c r="D23" i="11" s="1"/>
  <c r="F23" i="11" s="1"/>
  <c r="B25" i="11"/>
  <c r="E23" i="11" l="1"/>
  <c r="G23" i="11" s="1"/>
  <c r="C24" i="11"/>
  <c r="D24" i="11" s="1"/>
  <c r="F24" i="11" s="1"/>
  <c r="B26" i="11"/>
  <c r="E24" i="11" l="1"/>
  <c r="G24" i="11" s="1"/>
  <c r="B27" i="11"/>
  <c r="C25" i="11"/>
  <c r="D25" i="11" s="1"/>
  <c r="F25" i="11" s="1"/>
  <c r="E25" i="11" l="1"/>
  <c r="G25" i="11" s="1"/>
  <c r="C26" i="11"/>
  <c r="D26" i="11" s="1"/>
  <c r="F26" i="11" s="1"/>
  <c r="B28" i="11"/>
  <c r="E26" i="11" l="1"/>
  <c r="G26" i="11" s="1"/>
  <c r="C27" i="11"/>
  <c r="D27" i="11" s="1"/>
  <c r="F27" i="11" s="1"/>
  <c r="B29" i="11"/>
  <c r="E27" i="11" l="1"/>
  <c r="G27" i="11" s="1"/>
  <c r="C28" i="11"/>
  <c r="D28" i="11" s="1"/>
  <c r="F28" i="11" s="1"/>
  <c r="B30" i="11"/>
  <c r="E28" i="11" l="1"/>
  <c r="G28" i="11" s="1"/>
  <c r="C29" i="11"/>
  <c r="D29" i="11" s="1"/>
  <c r="F29" i="11" s="1"/>
  <c r="B31" i="11"/>
  <c r="E29" i="11" l="1"/>
  <c r="G29" i="11" s="1"/>
  <c r="C30" i="11"/>
  <c r="D30" i="11" s="1"/>
  <c r="F30" i="11" s="1"/>
  <c r="B32" i="11"/>
  <c r="E30" i="11" l="1"/>
  <c r="G30" i="11" s="1"/>
  <c r="C31" i="11"/>
  <c r="D31" i="11" s="1"/>
  <c r="F31" i="11" s="1"/>
  <c r="B33" i="11"/>
  <c r="E31" i="11" l="1"/>
  <c r="G31" i="11" s="1"/>
  <c r="C32" i="11"/>
  <c r="D32" i="11" s="1"/>
  <c r="F32" i="11" s="1"/>
  <c r="B34" i="11"/>
  <c r="E32" i="11" l="1"/>
  <c r="G32" i="11" s="1"/>
  <c r="B35" i="11"/>
  <c r="C33" i="11"/>
  <c r="D33" i="11" s="1"/>
  <c r="F33" i="11" s="1"/>
  <c r="E33" i="11" l="1"/>
  <c r="G33" i="11" s="1"/>
  <c r="C34" i="11"/>
  <c r="D34" i="11" s="1"/>
  <c r="F34" i="11" s="1"/>
  <c r="B36" i="11"/>
  <c r="E34" i="11" l="1"/>
  <c r="G34" i="11" s="1"/>
  <c r="C35" i="11"/>
  <c r="D35" i="11" s="1"/>
  <c r="F35" i="11" s="1"/>
  <c r="B37" i="11"/>
  <c r="E35" i="11" l="1"/>
  <c r="G35" i="11" s="1"/>
  <c r="C36" i="11"/>
  <c r="D36" i="11" s="1"/>
  <c r="F36" i="11" s="1"/>
  <c r="B38" i="11"/>
  <c r="E36" i="11" l="1"/>
  <c r="G36" i="11" s="1"/>
  <c r="C37" i="11"/>
  <c r="D37" i="11" s="1"/>
  <c r="F37" i="11" s="1"/>
  <c r="B39" i="11"/>
  <c r="E37" i="11" l="1"/>
  <c r="G37" i="11" s="1"/>
  <c r="B40" i="11"/>
  <c r="C38" i="11"/>
  <c r="D38" i="11" s="1"/>
  <c r="F38" i="11" s="1"/>
  <c r="E38" i="11" l="1"/>
  <c r="G38" i="11" s="1"/>
  <c r="C39" i="11"/>
  <c r="D39" i="11" s="1"/>
  <c r="F39" i="11" s="1"/>
  <c r="B41" i="11"/>
  <c r="E39" i="11" l="1"/>
  <c r="G39" i="11" s="1"/>
  <c r="C40" i="11"/>
  <c r="D40" i="11" s="1"/>
  <c r="F40" i="11" s="1"/>
  <c r="B42" i="11"/>
  <c r="E40" i="11" l="1"/>
  <c r="G40" i="11" s="1"/>
  <c r="C41" i="11"/>
  <c r="D41" i="11" s="1"/>
  <c r="F41" i="11" s="1"/>
  <c r="B43" i="11"/>
  <c r="E41" i="11" l="1"/>
  <c r="G41" i="11" s="1"/>
  <c r="B44" i="11"/>
  <c r="C42" i="11"/>
  <c r="D42" i="11" s="1"/>
  <c r="F42" i="11" s="1"/>
  <c r="E42" i="11" l="1"/>
  <c r="G42" i="11" s="1"/>
  <c r="C43" i="11"/>
  <c r="D43" i="11" s="1"/>
  <c r="F43" i="11" s="1"/>
  <c r="B45" i="11"/>
  <c r="E43" i="11" l="1"/>
  <c r="G43" i="11" s="1"/>
  <c r="C44" i="11"/>
  <c r="D44" i="11" s="1"/>
  <c r="F44" i="11" s="1"/>
  <c r="B46" i="11"/>
  <c r="E44" i="11" l="1"/>
  <c r="G44" i="11" s="1"/>
  <c r="C45" i="11"/>
  <c r="D45" i="11" s="1"/>
  <c r="F45" i="11" s="1"/>
  <c r="B47" i="11"/>
  <c r="E45" i="11" l="1"/>
  <c r="G45" i="11" s="1"/>
  <c r="C46" i="11"/>
  <c r="D46" i="11" s="1"/>
  <c r="F46" i="11" s="1"/>
  <c r="B48" i="11"/>
  <c r="E46" i="11" l="1"/>
  <c r="G46" i="11" s="1"/>
  <c r="B49" i="11"/>
  <c r="C47" i="11"/>
  <c r="D47" i="11" s="1"/>
  <c r="F47" i="11" s="1"/>
  <c r="E47" i="11" l="1"/>
  <c r="G47" i="11" s="1"/>
  <c r="C48" i="11"/>
  <c r="D48" i="11" s="1"/>
  <c r="F48" i="11" s="1"/>
  <c r="B50" i="11"/>
  <c r="E48" i="11" l="1"/>
  <c r="G48" i="11" s="1"/>
  <c r="C49" i="11"/>
  <c r="D49" i="11" s="1"/>
  <c r="F49" i="11" s="1"/>
  <c r="B51" i="11"/>
  <c r="E49" i="11" l="1"/>
  <c r="G49" i="11" s="1"/>
  <c r="B52" i="11"/>
  <c r="C50" i="11"/>
  <c r="D50" i="11" s="1"/>
  <c r="F50" i="11" s="1"/>
  <c r="B53" i="11" l="1"/>
  <c r="E50" i="11"/>
  <c r="G50" i="11" s="1"/>
  <c r="C51" i="11"/>
  <c r="D51" i="11" s="1"/>
  <c r="F51" i="11" s="1"/>
  <c r="B54" i="11" l="1"/>
  <c r="E51" i="11"/>
  <c r="G51" i="11" s="1"/>
  <c r="C52" i="11"/>
  <c r="D52" i="11" s="1"/>
  <c r="E52" i="11" l="1"/>
  <c r="G52" i="11" s="1"/>
  <c r="F52" i="11"/>
  <c r="B55" i="11"/>
  <c r="C53" i="11"/>
  <c r="D53" i="11" s="1"/>
  <c r="E53" i="11" l="1"/>
  <c r="G53" i="11" s="1"/>
  <c r="F53" i="11"/>
  <c r="B56" i="11"/>
  <c r="C54" i="11"/>
  <c r="D54" i="11" s="1"/>
  <c r="E54" i="11" l="1"/>
  <c r="G54" i="11" s="1"/>
  <c r="F54" i="11"/>
  <c r="B57" i="11"/>
  <c r="C55" i="11"/>
  <c r="D55" i="11" s="1"/>
  <c r="E55" i="11" l="1"/>
  <c r="G55" i="11" s="1"/>
  <c r="F55" i="11"/>
  <c r="B58" i="11"/>
  <c r="C56" i="11"/>
  <c r="D56" i="11" s="1"/>
  <c r="E56" i="11" l="1"/>
  <c r="G56" i="11" s="1"/>
  <c r="F56" i="11"/>
  <c r="B59" i="11"/>
  <c r="C57" i="11"/>
  <c r="D57" i="11" s="1"/>
  <c r="E57" i="11" l="1"/>
  <c r="G57" i="11" s="1"/>
  <c r="F57" i="11"/>
  <c r="B60" i="11"/>
  <c r="C58" i="11"/>
  <c r="D58" i="11" s="1"/>
  <c r="E58" i="11" l="1"/>
  <c r="G58" i="11" s="1"/>
  <c r="F58" i="11"/>
  <c r="B61" i="11"/>
  <c r="C59" i="11"/>
  <c r="D59" i="11" s="1"/>
  <c r="E59" i="11" l="1"/>
  <c r="G59" i="11" s="1"/>
  <c r="F59" i="11"/>
  <c r="B62" i="11"/>
  <c r="C60" i="11"/>
  <c r="D60" i="11" s="1"/>
  <c r="B63" i="11" l="1"/>
  <c r="E60" i="11"/>
  <c r="G60" i="11" s="1"/>
  <c r="F60" i="11"/>
  <c r="C61" i="11"/>
  <c r="D61" i="11" s="1"/>
  <c r="E61" i="11" l="1"/>
  <c r="G61" i="11" s="1"/>
  <c r="F61" i="11"/>
  <c r="B64" i="11"/>
  <c r="C62" i="11"/>
  <c r="D62" i="11" s="1"/>
  <c r="E62" i="11" l="1"/>
  <c r="G62" i="11" s="1"/>
  <c r="F62" i="11"/>
  <c r="B65" i="11"/>
  <c r="C63" i="11"/>
  <c r="D63" i="11" s="1"/>
  <c r="E63" i="11" l="1"/>
  <c r="G63" i="11" s="1"/>
  <c r="F63" i="11"/>
  <c r="B66" i="11"/>
  <c r="C64" i="11"/>
  <c r="D64" i="11" s="1"/>
  <c r="E64" i="11" l="1"/>
  <c r="G64" i="11" s="1"/>
  <c r="F64" i="11"/>
  <c r="B67" i="11"/>
  <c r="C65" i="11"/>
  <c r="D65" i="11" s="1"/>
  <c r="B68" i="11" l="1"/>
  <c r="E65" i="11"/>
  <c r="G65" i="11" s="1"/>
  <c r="F65" i="11"/>
  <c r="C66" i="11"/>
  <c r="D66" i="11" s="1"/>
  <c r="E66" i="11" l="1"/>
  <c r="G66" i="11" s="1"/>
  <c r="F66" i="11"/>
  <c r="B69" i="11"/>
  <c r="C67" i="11"/>
  <c r="D67" i="11" s="1"/>
  <c r="E67" i="11" l="1"/>
  <c r="G67" i="11" s="1"/>
  <c r="F67" i="11"/>
  <c r="B70" i="11"/>
  <c r="C68" i="11"/>
  <c r="D68" i="11" s="1"/>
  <c r="E68" i="11" l="1"/>
  <c r="G68" i="11" s="1"/>
  <c r="F68" i="11"/>
  <c r="B71" i="11"/>
  <c r="C69" i="11"/>
  <c r="D69" i="11" s="1"/>
  <c r="E69" i="11" l="1"/>
  <c r="G69" i="11" s="1"/>
  <c r="F69" i="11"/>
  <c r="B72" i="11"/>
  <c r="C70" i="11"/>
  <c r="D70" i="11" s="1"/>
  <c r="B73" i="11" l="1"/>
  <c r="C72" i="11" s="1"/>
  <c r="D72" i="11" s="1"/>
  <c r="E70" i="11"/>
  <c r="G70" i="11" s="1"/>
  <c r="F70" i="11"/>
  <c r="C71" i="11"/>
  <c r="D71" i="11" s="1"/>
  <c r="E72" i="11" l="1"/>
  <c r="G72" i="11" s="1"/>
  <c r="E71" i="11"/>
  <c r="G71" i="11" s="1"/>
  <c r="F71" i="11"/>
  <c r="B74" i="11"/>
  <c r="C73" i="11" s="1"/>
  <c r="D73" i="11" s="1"/>
  <c r="E73" i="11" s="1"/>
  <c r="G73" i="11" s="1"/>
  <c r="F72" i="11"/>
  <c r="F73" i="11" l="1"/>
  <c r="B75" i="11"/>
  <c r="C74" i="11" s="1"/>
  <c r="D74" i="11" s="1"/>
  <c r="E74" i="11" s="1"/>
  <c r="G74" i="11" s="1"/>
  <c r="B76" i="11" l="1"/>
  <c r="C75" i="11" s="1"/>
  <c r="D75" i="11" s="1"/>
  <c r="E75" i="11" s="1"/>
  <c r="G75" i="11" s="1"/>
  <c r="F74" i="11"/>
  <c r="F75" i="11" l="1"/>
  <c r="B77" i="11"/>
  <c r="C76" i="11" s="1"/>
  <c r="D76" i="11" s="1"/>
  <c r="E76" i="11" s="1"/>
  <c r="G76" i="11" s="1"/>
  <c r="F76" i="11" l="1"/>
  <c r="B78" i="11"/>
  <c r="C77" i="11" s="1"/>
  <c r="D77" i="11" s="1"/>
  <c r="E77" i="11" s="1"/>
  <c r="G77" i="11" s="1"/>
  <c r="B79" i="11" l="1"/>
  <c r="C78" i="11" s="1"/>
  <c r="D78" i="11" s="1"/>
  <c r="E78" i="11" s="1"/>
  <c r="G78" i="11" s="1"/>
  <c r="F77" i="11"/>
  <c r="F78" i="11" l="1"/>
  <c r="B80" i="11"/>
  <c r="C79" i="11" s="1"/>
  <c r="D79" i="11" s="1"/>
  <c r="E79" i="11" s="1"/>
  <c r="G79" i="11" s="1"/>
  <c r="B81" i="11" l="1"/>
  <c r="C80" i="11" s="1"/>
  <c r="D80" i="11" s="1"/>
  <c r="E80" i="11" s="1"/>
  <c r="G80" i="11" s="1"/>
  <c r="F79" i="11"/>
  <c r="B82" i="11" l="1"/>
  <c r="C81" i="11" s="1"/>
  <c r="D81" i="11" s="1"/>
  <c r="E81" i="11" s="1"/>
  <c r="G81" i="11" s="1"/>
  <c r="F80" i="11"/>
  <c r="B83" i="11" l="1"/>
  <c r="C82" i="11" s="1"/>
  <c r="D82" i="11" s="1"/>
  <c r="E82" i="11" s="1"/>
  <c r="G82" i="11" s="1"/>
  <c r="F81" i="11"/>
  <c r="B84" i="11" l="1"/>
  <c r="C83" i="11" s="1"/>
  <c r="D83" i="11" s="1"/>
  <c r="E83" i="11" s="1"/>
  <c r="G83" i="11" s="1"/>
  <c r="F82" i="11"/>
  <c r="B85" i="11" l="1"/>
  <c r="C84" i="11" s="1"/>
  <c r="D84" i="11" s="1"/>
  <c r="E84" i="11" s="1"/>
  <c r="G84" i="11" s="1"/>
  <c r="F83" i="11"/>
  <c r="B86" i="11" l="1"/>
  <c r="F84" i="11"/>
  <c r="B87" i="11" l="1"/>
  <c r="C85" i="11"/>
  <c r="D85" i="11" s="1"/>
  <c r="E85" i="11" l="1"/>
  <c r="G85" i="11" s="1"/>
  <c r="F85" i="11"/>
  <c r="B88" i="11"/>
  <c r="C86" i="11"/>
  <c r="D86" i="11" s="1"/>
  <c r="B89" i="11" l="1"/>
  <c r="C88" i="11" s="1"/>
  <c r="D88" i="11" s="1"/>
  <c r="E86" i="11"/>
  <c r="G86" i="11" s="1"/>
  <c r="F86" i="11"/>
  <c r="C87" i="11"/>
  <c r="D87" i="11" s="1"/>
  <c r="E88" i="11" l="1"/>
  <c r="G88" i="11" s="1"/>
  <c r="E87" i="11"/>
  <c r="G87" i="11" s="1"/>
  <c r="F87" i="11"/>
  <c r="B90" i="11"/>
  <c r="F88" i="11"/>
  <c r="B91" i="11" l="1"/>
  <c r="C89" i="11"/>
  <c r="D89" i="11" s="1"/>
  <c r="E89" i="11" l="1"/>
  <c r="G89" i="11" s="1"/>
  <c r="F89" i="11"/>
  <c r="B92" i="11"/>
  <c r="C91" i="11" s="1"/>
  <c r="D91" i="11" s="1"/>
  <c r="C90" i="11"/>
  <c r="D90" i="11" s="1"/>
  <c r="E90" i="11" l="1"/>
  <c r="G90" i="11" s="1"/>
  <c r="F90" i="11"/>
  <c r="E91" i="11"/>
  <c r="G91" i="11" s="1"/>
  <c r="B93" i="11"/>
  <c r="C92" i="11" s="1"/>
  <c r="D92" i="11" s="1"/>
  <c r="E92" i="11" s="1"/>
  <c r="G92" i="11" s="1"/>
  <c r="F91" i="11"/>
  <c r="B94" i="11" l="1"/>
  <c r="C93" i="11" s="1"/>
  <c r="D93" i="11" s="1"/>
  <c r="E93" i="11" s="1"/>
  <c r="G93" i="11" s="1"/>
  <c r="F92" i="11"/>
  <c r="F93" i="11" l="1"/>
  <c r="B95" i="11"/>
  <c r="C94" i="11" s="1"/>
  <c r="D94" i="11" s="1"/>
  <c r="E94" i="11" s="1"/>
  <c r="G94" i="11" s="1"/>
  <c r="B96" i="11" l="1"/>
  <c r="F94" i="11"/>
  <c r="B97" i="11" l="1"/>
  <c r="C96" i="11" s="1"/>
  <c r="D96" i="11" s="1"/>
  <c r="C95" i="11"/>
  <c r="D95" i="11" s="1"/>
  <c r="E96" i="11" l="1"/>
  <c r="G96" i="11" s="1"/>
  <c r="E95" i="11"/>
  <c r="G95" i="11" s="1"/>
  <c r="F95" i="11"/>
  <c r="B98" i="11"/>
  <c r="C97" i="11" s="1"/>
  <c r="D97" i="11" s="1"/>
  <c r="E97" i="11" s="1"/>
  <c r="G97" i="11" s="1"/>
  <c r="F96" i="11"/>
  <c r="F97" i="11" l="1"/>
  <c r="B99" i="11"/>
  <c r="C98" i="11" s="1"/>
  <c r="D98" i="11" s="1"/>
  <c r="E98" i="11" s="1"/>
  <c r="G98" i="11" s="1"/>
  <c r="F98" i="11" l="1"/>
  <c r="B100" i="11"/>
  <c r="C99" i="11" s="1"/>
  <c r="D99" i="11" s="1"/>
  <c r="E99" i="11" s="1"/>
  <c r="G99" i="11" s="1"/>
  <c r="F99" i="11" l="1"/>
  <c r="B101" i="11"/>
  <c r="C100" i="11" s="1"/>
  <c r="D100" i="11" s="1"/>
  <c r="E100" i="11" s="1"/>
  <c r="G100" i="11" s="1"/>
  <c r="F100" i="11" l="1"/>
  <c r="B102" i="11"/>
  <c r="C101" i="11" s="1"/>
  <c r="D101" i="11" s="1"/>
  <c r="E101" i="11" s="1"/>
  <c r="G101" i="11" s="1"/>
  <c r="B103" i="11" l="1"/>
  <c r="C102" i="11" s="1"/>
  <c r="D102" i="11" s="1"/>
  <c r="E102" i="11" s="1"/>
  <c r="G102" i="11" s="1"/>
  <c r="F101" i="11"/>
  <c r="B104" i="11" l="1"/>
  <c r="F102" i="11"/>
  <c r="B105" i="11" l="1"/>
  <c r="C103" i="11"/>
  <c r="D103" i="11" s="1"/>
  <c r="E103" i="11" l="1"/>
  <c r="G103" i="11" s="1"/>
  <c r="F103" i="11"/>
  <c r="B106" i="11"/>
  <c r="C105" i="11" s="1"/>
  <c r="D105" i="11" s="1"/>
  <c r="F105" i="11" s="1"/>
  <c r="C104" i="11"/>
  <c r="D104" i="11" s="1"/>
  <c r="E104" i="11" l="1"/>
  <c r="G104" i="11" s="1"/>
  <c r="F104" i="11"/>
  <c r="B107" i="11"/>
  <c r="C106" i="11" s="1"/>
  <c r="D106" i="11" s="1"/>
  <c r="E106" i="11" s="1"/>
  <c r="G106" i="11" s="1"/>
  <c r="E105" i="11"/>
  <c r="G105" i="11" s="1"/>
  <c r="F106" i="11" l="1"/>
  <c r="B108" i="11"/>
  <c r="C107" i="11" s="1"/>
  <c r="D107" i="11" s="1"/>
  <c r="E107" i="11" s="1"/>
  <c r="G107" i="11" s="1"/>
  <c r="F107" i="11" l="1"/>
  <c r="B109" i="11"/>
  <c r="C108" i="11" s="1"/>
  <c r="D108" i="11" s="1"/>
  <c r="E108" i="11" s="1"/>
  <c r="G108" i="11" s="1"/>
  <c r="F108" i="11" l="1"/>
  <c r="B110" i="11"/>
  <c r="C109" i="11" s="1"/>
  <c r="D109" i="11" s="1"/>
  <c r="E109" i="11" s="1"/>
  <c r="G109" i="11" s="1"/>
  <c r="F109" i="11" l="1"/>
  <c r="B111" i="11"/>
  <c r="C110" i="11" s="1"/>
  <c r="D110" i="11" s="1"/>
  <c r="E110" i="11" s="1"/>
  <c r="G110" i="11" s="1"/>
  <c r="F110" i="11" l="1"/>
  <c r="B112" i="11"/>
  <c r="C111" i="11" s="1"/>
  <c r="D111" i="11" s="1"/>
  <c r="E111" i="11" s="1"/>
  <c r="G111" i="11" s="1"/>
  <c r="F111" i="11" l="1"/>
  <c r="B113" i="11"/>
  <c r="C112" i="11" s="1"/>
  <c r="D112" i="11" s="1"/>
  <c r="E112" i="11" s="1"/>
  <c r="G112" i="11" s="1"/>
  <c r="F112" i="11" l="1"/>
  <c r="B114" i="11"/>
  <c r="B115" i="11" l="1"/>
  <c r="C114" i="11" s="1"/>
  <c r="D114" i="11" s="1"/>
  <c r="F114" i="11" s="1"/>
  <c r="C113" i="11"/>
  <c r="D113" i="11" s="1"/>
  <c r="E113" i="11" l="1"/>
  <c r="G113" i="11" s="1"/>
  <c r="F113" i="11"/>
  <c r="B116" i="11"/>
  <c r="E114" i="11"/>
  <c r="G114" i="11" s="1"/>
  <c r="B117" i="11" l="1"/>
  <c r="C116" i="11" s="1"/>
  <c r="D116" i="11" s="1"/>
  <c r="F116" i="11" s="1"/>
  <c r="C115" i="11"/>
  <c r="D115" i="11" s="1"/>
  <c r="E115" i="11" l="1"/>
  <c r="G115" i="11" s="1"/>
  <c r="F115" i="11"/>
  <c r="E116" i="11"/>
  <c r="G116" i="11" s="1"/>
  <c r="B118" i="11"/>
  <c r="C117" i="11" s="1"/>
  <c r="D117" i="11" s="1"/>
  <c r="E117" i="11" s="1"/>
  <c r="G117" i="11" s="1"/>
  <c r="F117" i="11" l="1"/>
  <c r="B119" i="11"/>
  <c r="C118" i="11" s="1"/>
  <c r="D118" i="11" s="1"/>
  <c r="E118" i="11" s="1"/>
  <c r="G118" i="11" s="1"/>
  <c r="F118" i="11" l="1"/>
  <c r="B120" i="11"/>
  <c r="C119" i="11" s="1"/>
  <c r="D119" i="11" s="1"/>
  <c r="E119" i="11" s="1"/>
  <c r="G119" i="11" s="1"/>
  <c r="F119" i="11" l="1"/>
  <c r="B121" i="11"/>
  <c r="C120" i="11" s="1"/>
  <c r="D120" i="11" s="1"/>
  <c r="E120" i="11" s="1"/>
  <c r="G120" i="11" s="1"/>
  <c r="F120" i="11" l="1"/>
  <c r="B122" i="11"/>
  <c r="C121" i="11" s="1"/>
  <c r="D121" i="11" s="1"/>
  <c r="E121" i="11" s="1"/>
  <c r="G121" i="11" s="1"/>
  <c r="F121" i="11" l="1"/>
  <c r="B123" i="11"/>
  <c r="B124" i="11" l="1"/>
  <c r="C123" i="11" s="1"/>
  <c r="D123" i="11" s="1"/>
  <c r="F123" i="11" s="1"/>
  <c r="C122" i="11"/>
  <c r="D122" i="11" s="1"/>
  <c r="E122" i="11" l="1"/>
  <c r="G122" i="11" s="1"/>
  <c r="F122" i="11"/>
  <c r="E123" i="11"/>
  <c r="G123" i="11" s="1"/>
  <c r="B125" i="11"/>
  <c r="C124" i="11" s="1"/>
  <c r="D124" i="11" s="1"/>
  <c r="E124" i="11" s="1"/>
  <c r="G124" i="11" s="1"/>
  <c r="F124" i="11" l="1"/>
  <c r="B126" i="11"/>
  <c r="C125" i="11" s="1"/>
  <c r="D125" i="11" s="1"/>
  <c r="E125" i="11" s="1"/>
  <c r="G125" i="11" s="1"/>
  <c r="F125" i="11" l="1"/>
  <c r="B127" i="11"/>
  <c r="C126" i="11" s="1"/>
  <c r="D126" i="11" s="1"/>
  <c r="E126" i="11" s="1"/>
  <c r="G126" i="11" s="1"/>
  <c r="F126" i="11" l="1"/>
  <c r="B128" i="11"/>
  <c r="C127" i="11" s="1"/>
  <c r="D127" i="11" s="1"/>
  <c r="E127" i="11" s="1"/>
  <c r="G127" i="11" s="1"/>
  <c r="F127" i="11" l="1"/>
  <c r="B129" i="11"/>
  <c r="C128" i="11" s="1"/>
  <c r="D128" i="11" s="1"/>
  <c r="E128" i="11" s="1"/>
  <c r="G128" i="11" s="1"/>
  <c r="F128" i="11" l="1"/>
  <c r="B130" i="11"/>
  <c r="C129" i="11" s="1"/>
  <c r="D129" i="11" s="1"/>
  <c r="E129" i="11" s="1"/>
  <c r="G129" i="11" s="1"/>
  <c r="F129" i="11" l="1"/>
  <c r="B131" i="11"/>
  <c r="B132" i="11" l="1"/>
  <c r="C130" i="11"/>
  <c r="D130" i="11" s="1"/>
  <c r="E130" i="11" l="1"/>
  <c r="G130" i="11" s="1"/>
  <c r="F130" i="11"/>
  <c r="B133" i="11"/>
  <c r="C132" i="11" s="1"/>
  <c r="D132" i="11" s="1"/>
  <c r="F132" i="11" s="1"/>
  <c r="C131" i="11"/>
  <c r="D131" i="11" s="1"/>
  <c r="E131" i="11" l="1"/>
  <c r="G131" i="11" s="1"/>
  <c r="F131" i="11"/>
  <c r="E132" i="11"/>
  <c r="G132" i="11" s="1"/>
  <c r="B134" i="11"/>
  <c r="C133" i="11" s="1"/>
  <c r="D133" i="11" s="1"/>
  <c r="E133" i="11" s="1"/>
  <c r="G133" i="11" s="1"/>
  <c r="F133" i="11" l="1"/>
  <c r="B135" i="11"/>
  <c r="B136" i="11" l="1"/>
  <c r="C134" i="11"/>
  <c r="D134" i="11" s="1"/>
  <c r="E134" i="11" l="1"/>
  <c r="G134" i="11" s="1"/>
  <c r="F134" i="11"/>
  <c r="B137" i="11"/>
  <c r="C136" i="11" s="1"/>
  <c r="D136" i="11" s="1"/>
  <c r="F136" i="11" s="1"/>
  <c r="C135" i="11"/>
  <c r="D135" i="11" s="1"/>
  <c r="E135" i="11" l="1"/>
  <c r="G135" i="11" s="1"/>
  <c r="F135" i="11"/>
  <c r="E136" i="11"/>
  <c r="G136" i="11" s="1"/>
  <c r="B138" i="11"/>
  <c r="C137" i="11" s="1"/>
  <c r="D137" i="11" s="1"/>
  <c r="E137" i="11" s="1"/>
  <c r="G137" i="11" s="1"/>
  <c r="F137" i="11" l="1"/>
  <c r="B139" i="11"/>
  <c r="C138" i="11" s="1"/>
  <c r="D138" i="11" s="1"/>
  <c r="E138" i="11" s="1"/>
  <c r="G138" i="11" s="1"/>
  <c r="F138" i="11" l="1"/>
  <c r="B140" i="11"/>
  <c r="C139" i="11" s="1"/>
  <c r="D139" i="11" s="1"/>
  <c r="E139" i="11" s="1"/>
  <c r="G139" i="11" s="1"/>
  <c r="F139" i="11" l="1"/>
  <c r="B141" i="11"/>
  <c r="C140" i="11" s="1"/>
  <c r="D140" i="11" s="1"/>
  <c r="E140" i="11" s="1"/>
  <c r="G140" i="11" s="1"/>
  <c r="F140" i="11" l="1"/>
  <c r="B142" i="11"/>
  <c r="C141" i="11" s="1"/>
  <c r="D141" i="11" s="1"/>
  <c r="E141" i="11" s="1"/>
  <c r="G141" i="11" s="1"/>
  <c r="F141" i="11" l="1"/>
  <c r="B143" i="11"/>
  <c r="C142" i="11" s="1"/>
  <c r="D142" i="11" s="1"/>
  <c r="E142" i="11" s="1"/>
  <c r="G142" i="11" s="1"/>
  <c r="F142" i="11" l="1"/>
  <c r="B144" i="11"/>
  <c r="C143" i="11" s="1"/>
  <c r="D143" i="11" s="1"/>
  <c r="E143" i="11" s="1"/>
  <c r="G143" i="11" s="1"/>
  <c r="F143" i="11" l="1"/>
  <c r="B145" i="11"/>
  <c r="C144" i="11" s="1"/>
  <c r="D144" i="11" s="1"/>
  <c r="E144" i="11" s="1"/>
  <c r="G144" i="11" s="1"/>
  <c r="F144" i="11" l="1"/>
  <c r="B146" i="11"/>
  <c r="C145" i="11" s="1"/>
  <c r="D145" i="11" s="1"/>
  <c r="E145" i="11" s="1"/>
  <c r="G145" i="11" s="1"/>
  <c r="F145" i="11" l="1"/>
  <c r="B147" i="11"/>
  <c r="B148" i="11" l="1"/>
  <c r="C147" i="11" s="1"/>
  <c r="D147" i="11" s="1"/>
  <c r="F147" i="11" s="1"/>
  <c r="C146" i="11"/>
  <c r="D146" i="11" s="1"/>
  <c r="E146" i="11" l="1"/>
  <c r="G146" i="11" s="1"/>
  <c r="F146" i="11"/>
  <c r="B149" i="11"/>
  <c r="C148" i="11" s="1"/>
  <c r="D148" i="11" s="1"/>
  <c r="E148" i="11" s="1"/>
  <c r="G148" i="11" s="1"/>
  <c r="E147" i="11"/>
  <c r="G147" i="11" s="1"/>
  <c r="F148" i="11" l="1"/>
  <c r="B150" i="11"/>
  <c r="B151" i="11" l="1"/>
  <c r="C150" i="11" s="1"/>
  <c r="D150" i="11" s="1"/>
  <c r="F150" i="11" s="1"/>
  <c r="C149" i="11"/>
  <c r="D149" i="11" s="1"/>
  <c r="E149" i="11" l="1"/>
  <c r="G149" i="11" s="1"/>
  <c r="F149" i="11"/>
  <c r="E150" i="11"/>
  <c r="G150" i="11" s="1"/>
  <c r="B152" i="11"/>
  <c r="C151" i="11" s="1"/>
  <c r="D151" i="11" s="1"/>
  <c r="E151" i="11" s="1"/>
  <c r="G151" i="11" s="1"/>
  <c r="F151" i="11" l="1"/>
  <c r="B153" i="11"/>
  <c r="C152" i="11" s="1"/>
  <c r="D152" i="11" s="1"/>
  <c r="E152" i="11" s="1"/>
  <c r="G152" i="11" s="1"/>
  <c r="F152" i="11" l="1"/>
  <c r="B154" i="11"/>
  <c r="C153" i="11" s="1"/>
  <c r="D153" i="11" s="1"/>
  <c r="E153" i="11" s="1"/>
  <c r="G153" i="11" s="1"/>
  <c r="F153" i="11" l="1"/>
  <c r="B155" i="11"/>
  <c r="C154" i="11" s="1"/>
  <c r="D154" i="11" s="1"/>
  <c r="E154" i="11" s="1"/>
  <c r="G154" i="11" s="1"/>
  <c r="F154" i="11" l="1"/>
  <c r="B156" i="11"/>
  <c r="C155" i="11" s="1"/>
  <c r="D155" i="11" s="1"/>
  <c r="E155" i="11" s="1"/>
  <c r="G155" i="11" s="1"/>
  <c r="F155" i="11" l="1"/>
  <c r="B157" i="11"/>
  <c r="C156" i="11" s="1"/>
  <c r="D156" i="11" s="1"/>
  <c r="E156" i="11" s="1"/>
  <c r="G156" i="11" s="1"/>
  <c r="F156" i="11" l="1"/>
  <c r="B158" i="11"/>
  <c r="C157" i="11" s="1"/>
  <c r="D157" i="11" s="1"/>
  <c r="E157" i="11" s="1"/>
  <c r="G157" i="11" s="1"/>
  <c r="F157" i="11" l="1"/>
  <c r="B159" i="11"/>
  <c r="C158" i="11" s="1"/>
  <c r="D158" i="11" s="1"/>
  <c r="E158" i="11" s="1"/>
  <c r="G158" i="11" s="1"/>
  <c r="F158" i="11" l="1"/>
  <c r="B160" i="11"/>
  <c r="C159" i="11" s="1"/>
  <c r="D159" i="11" s="1"/>
  <c r="E159" i="11" s="1"/>
  <c r="G159" i="11" s="1"/>
  <c r="F159" i="11" l="1"/>
  <c r="B161" i="11"/>
  <c r="C160" i="11" s="1"/>
  <c r="D160" i="11" s="1"/>
  <c r="E160" i="11" s="1"/>
  <c r="G160" i="11" s="1"/>
  <c r="F160" i="11" l="1"/>
  <c r="B162" i="11"/>
  <c r="B163" i="11" l="1"/>
  <c r="C162" i="11" s="1"/>
  <c r="D162" i="11" s="1"/>
  <c r="F162" i="11" s="1"/>
  <c r="C161" i="11"/>
  <c r="D161" i="11" s="1"/>
  <c r="E161" i="11" l="1"/>
  <c r="G161" i="11" s="1"/>
  <c r="F161" i="11"/>
  <c r="E162" i="11"/>
  <c r="G162" i="11" s="1"/>
  <c r="B164" i="11"/>
  <c r="C163" i="11" s="1"/>
  <c r="D163" i="11" s="1"/>
  <c r="E163" i="11" s="1"/>
  <c r="G163" i="11" s="1"/>
  <c r="F163" i="11" l="1"/>
  <c r="B165" i="11"/>
  <c r="C164" i="11" s="1"/>
  <c r="D164" i="11" s="1"/>
  <c r="E164" i="11" s="1"/>
  <c r="G164" i="11" s="1"/>
  <c r="F164" i="11" l="1"/>
  <c r="B166" i="11"/>
  <c r="C165" i="11" s="1"/>
  <c r="D165" i="11" s="1"/>
  <c r="E165" i="11" s="1"/>
  <c r="G165" i="11" s="1"/>
  <c r="F165" i="11" l="1"/>
  <c r="B167" i="11"/>
  <c r="C166" i="11" s="1"/>
  <c r="D166" i="11" s="1"/>
  <c r="E166" i="11" s="1"/>
  <c r="G166" i="11" s="1"/>
  <c r="F166" i="11" l="1"/>
  <c r="B168" i="11"/>
  <c r="C167" i="11" s="1"/>
  <c r="D167" i="11" s="1"/>
  <c r="E167" i="11" s="1"/>
  <c r="G167" i="11" s="1"/>
  <c r="F167" i="11" l="1"/>
  <c r="B169" i="11"/>
  <c r="C168" i="11" s="1"/>
  <c r="D168" i="11" s="1"/>
  <c r="E168" i="11" s="1"/>
  <c r="G168" i="11" s="1"/>
  <c r="F168" i="11" l="1"/>
  <c r="B170" i="11"/>
  <c r="C169" i="11" s="1"/>
  <c r="D169" i="11" s="1"/>
  <c r="E169" i="11" s="1"/>
  <c r="G169" i="11" s="1"/>
  <c r="F169" i="11" l="1"/>
  <c r="B171" i="11"/>
  <c r="C170" i="11" s="1"/>
  <c r="D170" i="11" s="1"/>
  <c r="E170" i="11" s="1"/>
  <c r="G170" i="11" s="1"/>
  <c r="F170" i="11" l="1"/>
  <c r="B172" i="11"/>
  <c r="C171" i="11" s="1"/>
  <c r="D171" i="11" s="1"/>
  <c r="E171" i="11" s="1"/>
  <c r="G171" i="11" s="1"/>
  <c r="F171" i="11" l="1"/>
  <c r="B173" i="11"/>
  <c r="B174" i="11" l="1"/>
  <c r="C173" i="11" s="1"/>
  <c r="D173" i="11" s="1"/>
  <c r="F173" i="11" s="1"/>
  <c r="C172" i="11"/>
  <c r="D172" i="11" s="1"/>
  <c r="E172" i="11" l="1"/>
  <c r="G172" i="11" s="1"/>
  <c r="F172" i="11"/>
  <c r="B175" i="11"/>
  <c r="C174" i="11" s="1"/>
  <c r="D174" i="11" s="1"/>
  <c r="E174" i="11" s="1"/>
  <c r="G174" i="11" s="1"/>
  <c r="E173" i="11"/>
  <c r="G173" i="11" s="1"/>
  <c r="F174" i="11" l="1"/>
  <c r="B176" i="11"/>
  <c r="C175" i="11" s="1"/>
  <c r="D175" i="11" s="1"/>
  <c r="E175" i="11" s="1"/>
  <c r="G175" i="11" s="1"/>
  <c r="F175" i="11" l="1"/>
  <c r="B177" i="11"/>
  <c r="B178" i="11" l="1"/>
  <c r="C177" i="11" s="1"/>
  <c r="D177" i="11" s="1"/>
  <c r="F177" i="11" s="1"/>
  <c r="C176" i="11"/>
  <c r="D176" i="11" s="1"/>
  <c r="E176" i="11" l="1"/>
  <c r="G176" i="11" s="1"/>
  <c r="F176" i="11"/>
  <c r="E177" i="11"/>
  <c r="G177" i="11" s="1"/>
  <c r="B179" i="11"/>
  <c r="C178" i="11" s="1"/>
  <c r="D178" i="11" s="1"/>
  <c r="E178" i="11" s="1"/>
  <c r="G178" i="11" s="1"/>
  <c r="F178" i="11" l="1"/>
  <c r="B180" i="11"/>
  <c r="C179" i="11" s="1"/>
  <c r="D179" i="11" s="1"/>
  <c r="E179" i="11" s="1"/>
  <c r="G179" i="11" s="1"/>
  <c r="F179" i="11" l="1"/>
  <c r="B181" i="11"/>
  <c r="C180" i="11" s="1"/>
  <c r="D180" i="11" s="1"/>
  <c r="E180" i="11" s="1"/>
  <c r="G180" i="11" s="1"/>
  <c r="F180" i="11" l="1"/>
  <c r="B182" i="11"/>
  <c r="C181" i="11" s="1"/>
  <c r="D181" i="11" s="1"/>
  <c r="E181" i="11" s="1"/>
  <c r="G181" i="11" s="1"/>
  <c r="F181" i="11" l="1"/>
  <c r="B183" i="11"/>
  <c r="C182" i="11" s="1"/>
  <c r="D182" i="11" s="1"/>
  <c r="E182" i="11" s="1"/>
  <c r="G182" i="11" s="1"/>
  <c r="F182" i="11" l="1"/>
  <c r="B184" i="11"/>
  <c r="C183" i="11" s="1"/>
  <c r="D183" i="11" s="1"/>
  <c r="E183" i="11" s="1"/>
  <c r="G183" i="11" s="1"/>
  <c r="F183" i="11" l="1"/>
  <c r="B185" i="11"/>
  <c r="C184" i="11" s="1"/>
  <c r="D184" i="11" s="1"/>
  <c r="E184" i="11" s="1"/>
  <c r="G184" i="11" s="1"/>
  <c r="F184" i="11" l="1"/>
  <c r="B186" i="11"/>
  <c r="C185" i="11" s="1"/>
  <c r="D185" i="11" s="1"/>
  <c r="E185" i="11" s="1"/>
  <c r="G185" i="11" s="1"/>
  <c r="F185" i="11" l="1"/>
  <c r="B187" i="11"/>
  <c r="C186" i="11" s="1"/>
  <c r="D186" i="11" s="1"/>
  <c r="E186" i="11" s="1"/>
  <c r="G186" i="11" s="1"/>
  <c r="F186" i="11" l="1"/>
  <c r="B188" i="11"/>
  <c r="C187" i="11" s="1"/>
  <c r="D187" i="11" s="1"/>
  <c r="E187" i="11" s="1"/>
  <c r="G187" i="11" s="1"/>
  <c r="F187" i="11" l="1"/>
  <c r="B189" i="11"/>
  <c r="B190" i="11" l="1"/>
  <c r="C189" i="11" s="1"/>
  <c r="D189" i="11" s="1"/>
  <c r="F189" i="11" s="1"/>
  <c r="C188" i="11"/>
  <c r="D188" i="11" s="1"/>
  <c r="E188" i="11" l="1"/>
  <c r="G188" i="11" s="1"/>
  <c r="F188" i="11"/>
  <c r="E189" i="11"/>
  <c r="G189" i="11" s="1"/>
  <c r="B191" i="11"/>
  <c r="C190" i="11" s="1"/>
  <c r="D190" i="11" s="1"/>
  <c r="E190" i="11" s="1"/>
  <c r="G190" i="11" s="1"/>
  <c r="F190" i="11" l="1"/>
  <c r="B192" i="11"/>
  <c r="C191" i="11" s="1"/>
  <c r="D191" i="11" s="1"/>
  <c r="E191" i="11" s="1"/>
  <c r="G191" i="11" s="1"/>
  <c r="F191" i="11" l="1"/>
  <c r="B193" i="11"/>
  <c r="C192" i="11" s="1"/>
  <c r="D192" i="11" s="1"/>
  <c r="E192" i="11" s="1"/>
  <c r="G192" i="11" s="1"/>
  <c r="F192" i="11" l="1"/>
  <c r="B194" i="11"/>
  <c r="C193" i="11" s="1"/>
  <c r="D193" i="11" s="1"/>
  <c r="E193" i="11" s="1"/>
  <c r="G193" i="11" s="1"/>
  <c r="F193" i="11" l="1"/>
  <c r="B195" i="11"/>
  <c r="C194" i="11" s="1"/>
  <c r="D194" i="11" s="1"/>
  <c r="E194" i="11" s="1"/>
  <c r="G194" i="11" s="1"/>
  <c r="F194" i="11" l="1"/>
  <c r="B196" i="11"/>
  <c r="B197" i="11" l="1"/>
  <c r="C196" i="11" s="1"/>
  <c r="D196" i="11" s="1"/>
  <c r="F196" i="11" s="1"/>
  <c r="C195" i="11"/>
  <c r="D195" i="11" s="1"/>
  <c r="E195" i="11" l="1"/>
  <c r="G195" i="11" s="1"/>
  <c r="F195" i="11"/>
  <c r="E196" i="11"/>
  <c r="G196" i="11" s="1"/>
  <c r="B198" i="11"/>
  <c r="B199" i="11" l="1"/>
  <c r="C198" i="11" s="1"/>
  <c r="D198" i="11" s="1"/>
  <c r="F198" i="11" s="1"/>
  <c r="C197" i="11"/>
  <c r="D197" i="11" s="1"/>
  <c r="E197" i="11" l="1"/>
  <c r="G197" i="11" s="1"/>
  <c r="F197" i="11"/>
  <c r="B200" i="11"/>
  <c r="C199" i="11" s="1"/>
  <c r="D199" i="11" s="1"/>
  <c r="E198" i="11"/>
  <c r="G198" i="11" s="1"/>
  <c r="E199" i="11" l="1"/>
  <c r="G199" i="11" s="1"/>
  <c r="F199" i="11"/>
  <c r="B201" i="11"/>
  <c r="C200" i="11" s="1"/>
  <c r="D200" i="11" s="1"/>
  <c r="E200" i="11" s="1"/>
  <c r="G200" i="11" s="1"/>
  <c r="F200" i="11" l="1"/>
  <c r="B202" i="11"/>
  <c r="C201" i="11" s="1"/>
  <c r="D201" i="11" s="1"/>
  <c r="E201" i="11" s="1"/>
  <c r="G201" i="11" s="1"/>
  <c r="F201" i="11" l="1"/>
  <c r="B203" i="11"/>
  <c r="B204" i="11" l="1"/>
  <c r="C203" i="11" s="1"/>
  <c r="D203" i="11" s="1"/>
  <c r="F203" i="11" s="1"/>
  <c r="C202" i="11"/>
  <c r="D202" i="11" s="1"/>
  <c r="E202" i="11" l="1"/>
  <c r="G202" i="11" s="1"/>
  <c r="F202" i="11"/>
  <c r="E203" i="11"/>
  <c r="G203" i="11" s="1"/>
  <c r="B205" i="11"/>
  <c r="B206" i="11" l="1"/>
  <c r="C205" i="11" s="1"/>
  <c r="D205" i="11" s="1"/>
  <c r="F205" i="11" s="1"/>
  <c r="C204" i="11"/>
  <c r="D204" i="11" s="1"/>
  <c r="E204" i="11" l="1"/>
  <c r="G204" i="11" s="1"/>
  <c r="F204" i="11"/>
  <c r="E205" i="11"/>
  <c r="G205" i="11" s="1"/>
  <c r="B207" i="11"/>
  <c r="B208" i="11" l="1"/>
  <c r="C206" i="11"/>
  <c r="D206" i="11" s="1"/>
  <c r="E206" i="11" l="1"/>
  <c r="G206" i="11" s="1"/>
  <c r="F206" i="11"/>
  <c r="B209" i="11"/>
  <c r="C208" i="11" s="1"/>
  <c r="D208" i="11" s="1"/>
  <c r="F208" i="11" s="1"/>
  <c r="C207" i="11"/>
  <c r="D207" i="11" s="1"/>
  <c r="E207" i="11" l="1"/>
  <c r="G207" i="11" s="1"/>
  <c r="F207" i="11"/>
  <c r="E208" i="11"/>
  <c r="G208" i="11" s="1"/>
  <c r="B210" i="11"/>
  <c r="C209" i="11" s="1"/>
  <c r="D209" i="11" s="1"/>
  <c r="E209" i="11" s="1"/>
  <c r="G209" i="11" s="1"/>
  <c r="F209" i="11" l="1"/>
  <c r="B211" i="11"/>
  <c r="C210" i="11" s="1"/>
  <c r="D210" i="11" s="1"/>
  <c r="E210" i="11" s="1"/>
  <c r="G210" i="11" s="1"/>
  <c r="F210" i="11" l="1"/>
  <c r="B212" i="11"/>
  <c r="C211" i="11" s="1"/>
  <c r="D211" i="11" s="1"/>
  <c r="E211" i="11" s="1"/>
  <c r="G211" i="11" s="1"/>
  <c r="F211" i="11" l="1"/>
  <c r="B213" i="11"/>
  <c r="C212" i="11" s="1"/>
  <c r="D212" i="11" s="1"/>
  <c r="E212" i="11" s="1"/>
  <c r="G212" i="11" s="1"/>
  <c r="F212" i="11" l="1"/>
  <c r="B214" i="11"/>
  <c r="B215" i="11" l="1"/>
  <c r="C214" i="11" s="1"/>
  <c r="D214" i="11" s="1"/>
  <c r="F214" i="11" s="1"/>
  <c r="C213" i="11"/>
  <c r="D213" i="11" s="1"/>
  <c r="E213" i="11" l="1"/>
  <c r="G213" i="11" s="1"/>
  <c r="F213" i="11"/>
  <c r="E214" i="11"/>
  <c r="G214" i="11" s="1"/>
  <c r="B216" i="11"/>
  <c r="C215" i="11" s="1"/>
  <c r="D215" i="11" s="1"/>
  <c r="E215" i="11" s="1"/>
  <c r="G215" i="11" s="1"/>
  <c r="F215" i="11" l="1"/>
  <c r="B217" i="11"/>
  <c r="C216" i="11" s="1"/>
  <c r="D216" i="11" s="1"/>
  <c r="E216" i="11" s="1"/>
  <c r="G216" i="11" s="1"/>
  <c r="F216" i="11" l="1"/>
  <c r="B218" i="11"/>
  <c r="C217" i="11" s="1"/>
  <c r="D217" i="11" s="1"/>
  <c r="E217" i="11" s="1"/>
  <c r="G217" i="11" s="1"/>
  <c r="F217" i="11" l="1"/>
  <c r="B219" i="11"/>
  <c r="C218" i="11" s="1"/>
  <c r="D218" i="11" s="1"/>
  <c r="E218" i="11" s="1"/>
  <c r="G218" i="11" s="1"/>
  <c r="F218" i="11" l="1"/>
  <c r="B220" i="11"/>
  <c r="C219" i="11" s="1"/>
  <c r="D219" i="11" s="1"/>
  <c r="E219" i="11" s="1"/>
  <c r="G219" i="11" s="1"/>
  <c r="F219" i="11" l="1"/>
  <c r="B221" i="11"/>
  <c r="C220" i="11" s="1"/>
  <c r="D220" i="11" s="1"/>
  <c r="E220" i="11" s="1"/>
  <c r="G220" i="11" s="1"/>
  <c r="F220" i="11" l="1"/>
  <c r="B222" i="11"/>
  <c r="B223" i="11" l="1"/>
  <c r="C222" i="11" s="1"/>
  <c r="D222" i="11" s="1"/>
  <c r="F222" i="11" s="1"/>
  <c r="C221" i="11"/>
  <c r="D221" i="11" s="1"/>
  <c r="E221" i="11" l="1"/>
  <c r="G221" i="11" s="1"/>
  <c r="F221" i="11"/>
  <c r="E222" i="11"/>
  <c r="G222" i="11" s="1"/>
  <c r="B224" i="11"/>
  <c r="C223" i="11" s="1"/>
  <c r="D223" i="11" s="1"/>
  <c r="E223" i="11" s="1"/>
  <c r="G223" i="11" s="1"/>
  <c r="F223" i="11" l="1"/>
  <c r="B225" i="11"/>
  <c r="B226" i="11" l="1"/>
  <c r="C225" i="11" s="1"/>
  <c r="D225" i="11" s="1"/>
  <c r="F225" i="11" s="1"/>
  <c r="C224" i="11"/>
  <c r="D224" i="11" s="1"/>
  <c r="E224" i="11" l="1"/>
  <c r="G224" i="11" s="1"/>
  <c r="F224" i="11"/>
  <c r="E225" i="11"/>
  <c r="G225" i="11" s="1"/>
  <c r="B227" i="11"/>
  <c r="B228" i="11" l="1"/>
  <c r="C226" i="11"/>
  <c r="D226" i="11" s="1"/>
  <c r="E226" i="11" l="1"/>
  <c r="G226" i="11" s="1"/>
  <c r="F226" i="11"/>
  <c r="B229" i="11"/>
  <c r="C228" i="11" s="1"/>
  <c r="D228" i="11" s="1"/>
  <c r="F228" i="11" s="1"/>
  <c r="C227" i="11"/>
  <c r="D227" i="11" s="1"/>
  <c r="E227" i="11" l="1"/>
  <c r="G227" i="11" s="1"/>
  <c r="F227" i="11"/>
  <c r="E228" i="11"/>
  <c r="G228" i="11" s="1"/>
  <c r="B230" i="11"/>
  <c r="C229" i="11" s="1"/>
  <c r="D229" i="11" s="1"/>
  <c r="E229" i="11" s="1"/>
  <c r="G229" i="11" s="1"/>
  <c r="F229" i="11" l="1"/>
  <c r="B231" i="11"/>
  <c r="B232" i="11" l="1"/>
  <c r="C231" i="11" s="1"/>
  <c r="D231" i="11" s="1"/>
  <c r="E231" i="11" s="1"/>
  <c r="G231" i="11" s="1"/>
  <c r="C230" i="11"/>
  <c r="D230" i="11" s="1"/>
  <c r="E230" i="11" l="1"/>
  <c r="G230" i="11" s="1"/>
  <c r="F230" i="11"/>
  <c r="F231" i="11"/>
  <c r="B233" i="11"/>
  <c r="C232" i="11" s="1"/>
  <c r="D232" i="11" s="1"/>
  <c r="E232" i="11" s="1"/>
  <c r="G232" i="11" s="1"/>
  <c r="F232" i="11" l="1"/>
  <c r="B234" i="11"/>
  <c r="C233" i="11" s="1"/>
  <c r="D233" i="11" s="1"/>
  <c r="E233" i="11" s="1"/>
  <c r="G233" i="11" s="1"/>
  <c r="F233" i="11" l="1"/>
  <c r="B235" i="11"/>
  <c r="B236" i="11" l="1"/>
  <c r="C235" i="11" s="1"/>
  <c r="D235" i="11" s="1"/>
  <c r="F235" i="11" s="1"/>
  <c r="C234" i="11"/>
  <c r="D234" i="11" s="1"/>
  <c r="E234" i="11" l="1"/>
  <c r="G234" i="11" s="1"/>
  <c r="F234" i="11"/>
  <c r="E235" i="11"/>
  <c r="G235" i="11" s="1"/>
  <c r="B237" i="11"/>
  <c r="C236" i="11" s="1"/>
  <c r="D236" i="11" s="1"/>
  <c r="E236" i="11" s="1"/>
  <c r="G236" i="11" s="1"/>
  <c r="F236" i="11" l="1"/>
  <c r="B238" i="11"/>
  <c r="C237" i="11" s="1"/>
  <c r="D237" i="11" s="1"/>
  <c r="E237" i="11" s="1"/>
  <c r="G237" i="11" s="1"/>
  <c r="F237" i="11" l="1"/>
  <c r="B239" i="11"/>
  <c r="C238" i="11" s="1"/>
  <c r="D238" i="11" s="1"/>
  <c r="E238" i="11" s="1"/>
  <c r="G238" i="11" s="1"/>
  <c r="F238" i="11" l="1"/>
  <c r="B240" i="11"/>
  <c r="C239" i="11" s="1"/>
  <c r="D239" i="11" s="1"/>
  <c r="E239" i="11" s="1"/>
  <c r="G239" i="11" s="1"/>
  <c r="F239" i="11" l="1"/>
  <c r="B241" i="11"/>
  <c r="C240" i="11" s="1"/>
  <c r="D240" i="11" s="1"/>
  <c r="E240" i="11" s="1"/>
  <c r="G240" i="11" s="1"/>
  <c r="F240" i="11" l="1"/>
  <c r="B242" i="11"/>
  <c r="C241" i="11" s="1"/>
  <c r="D241" i="11" s="1"/>
  <c r="E241" i="11" s="1"/>
  <c r="G241" i="11" s="1"/>
  <c r="F241" i="11" l="1"/>
  <c r="B243" i="11"/>
  <c r="B244" i="11" l="1"/>
  <c r="C243" i="11" s="1"/>
  <c r="D243" i="11" s="1"/>
  <c r="F243" i="11" s="1"/>
  <c r="C242" i="11"/>
  <c r="D242" i="11" s="1"/>
  <c r="E242" i="11" l="1"/>
  <c r="G242" i="11" s="1"/>
  <c r="F242" i="11"/>
  <c r="E243" i="11"/>
  <c r="G243" i="11" s="1"/>
  <c r="B245" i="11"/>
  <c r="B246" i="11" l="1"/>
  <c r="C245" i="11" s="1"/>
  <c r="D245" i="11" s="1"/>
  <c r="F245" i="11" s="1"/>
  <c r="C244" i="11"/>
  <c r="D244" i="11" s="1"/>
  <c r="E244" i="11" l="1"/>
  <c r="G244" i="11" s="1"/>
  <c r="F244" i="11"/>
  <c r="E245" i="11"/>
  <c r="G245" i="11" s="1"/>
  <c r="B247" i="11"/>
  <c r="B248" i="11" l="1"/>
  <c r="C247" i="11" s="1"/>
  <c r="D247" i="11" s="1"/>
  <c r="F247" i="11" s="1"/>
  <c r="C246" i="11"/>
  <c r="D246" i="11" s="1"/>
  <c r="E246" i="11" l="1"/>
  <c r="G246" i="11" s="1"/>
  <c r="F246" i="11"/>
  <c r="E247" i="11"/>
  <c r="G247" i="11" s="1"/>
  <c r="B249" i="11"/>
  <c r="C248" i="11" s="1"/>
  <c r="D248" i="11" s="1"/>
  <c r="E248" i="11" s="1"/>
  <c r="G248" i="11" s="1"/>
  <c r="F248" i="11" l="1"/>
  <c r="B250" i="11"/>
  <c r="C249" i="11" s="1"/>
  <c r="D249" i="11" s="1"/>
  <c r="E249" i="11" s="1"/>
  <c r="G249" i="11" s="1"/>
  <c r="F249" i="11" l="1"/>
  <c r="B251" i="11"/>
  <c r="C250" i="11" s="1"/>
  <c r="D250" i="11" s="1"/>
  <c r="E250" i="11" s="1"/>
  <c r="G250" i="11" s="1"/>
  <c r="F250" i="11" l="1"/>
  <c r="B252" i="11"/>
  <c r="C251" i="11" s="1"/>
  <c r="D251" i="11" s="1"/>
  <c r="E251" i="11" s="1"/>
  <c r="G251" i="11" s="1"/>
  <c r="F251" i="11" l="1"/>
  <c r="B253" i="11"/>
  <c r="C252" i="11" s="1"/>
  <c r="D252" i="11" s="1"/>
  <c r="E252" i="11" s="1"/>
  <c r="G252" i="11" s="1"/>
  <c r="F252" i="11" l="1"/>
  <c r="B254" i="11"/>
  <c r="C253" i="11" s="1"/>
  <c r="D253" i="11" s="1"/>
  <c r="E253" i="11" s="1"/>
  <c r="G253" i="11" s="1"/>
  <c r="F253" i="11" l="1"/>
  <c r="B255" i="11"/>
  <c r="C254" i="11" s="1"/>
  <c r="D254" i="11" s="1"/>
  <c r="E254" i="11" s="1"/>
  <c r="G254" i="11" s="1"/>
  <c r="F254" i="11" l="1"/>
  <c r="B256" i="11"/>
  <c r="C255" i="11" s="1"/>
  <c r="D255" i="11" s="1"/>
  <c r="E255" i="11" s="1"/>
  <c r="G255" i="11" s="1"/>
  <c r="F255" i="11" l="1"/>
  <c r="B257" i="11"/>
  <c r="C256" i="11" s="1"/>
  <c r="D256" i="11" s="1"/>
  <c r="E256" i="11" s="1"/>
  <c r="G256" i="11" s="1"/>
  <c r="F256" i="11" l="1"/>
  <c r="B258" i="11"/>
  <c r="C257" i="11" s="1"/>
  <c r="D257" i="11" s="1"/>
  <c r="E257" i="11" s="1"/>
  <c r="G257" i="11" s="1"/>
  <c r="F257" i="11" l="1"/>
  <c r="B259" i="11"/>
  <c r="C258" i="11" s="1"/>
  <c r="D258" i="11" s="1"/>
  <c r="E258" i="11" s="1"/>
  <c r="G258" i="11" s="1"/>
  <c r="F258" i="11" l="1"/>
  <c r="B260" i="11"/>
  <c r="C259" i="11" s="1"/>
  <c r="D259" i="11" s="1"/>
  <c r="E259" i="11" s="1"/>
  <c r="G259" i="11" s="1"/>
  <c r="F259" i="11" l="1"/>
  <c r="B261" i="11"/>
  <c r="C260" i="11" s="1"/>
  <c r="D260" i="11" s="1"/>
  <c r="E260" i="11" s="1"/>
  <c r="G260" i="11" s="1"/>
  <c r="F260" i="11" l="1"/>
  <c r="B262" i="11"/>
  <c r="C261" i="11" s="1"/>
  <c r="D261" i="11" s="1"/>
  <c r="E261" i="11" s="1"/>
  <c r="G261" i="11" s="1"/>
  <c r="F261" i="11" l="1"/>
  <c r="B263" i="11"/>
  <c r="C262" i="11" s="1"/>
  <c r="D262" i="11" s="1"/>
  <c r="E262" i="11" s="1"/>
  <c r="G262" i="11" s="1"/>
  <c r="F262" i="11" l="1"/>
  <c r="B264" i="11"/>
  <c r="C263" i="11" s="1"/>
  <c r="D263" i="11" s="1"/>
  <c r="E263" i="11" s="1"/>
  <c r="G263" i="11" s="1"/>
  <c r="F263" i="11" l="1"/>
  <c r="B265" i="11"/>
  <c r="C264" i="11" s="1"/>
  <c r="D264" i="11" s="1"/>
  <c r="E264" i="11" s="1"/>
  <c r="G264" i="11" s="1"/>
  <c r="F264" i="11" l="1"/>
  <c r="B266" i="11"/>
  <c r="C265" i="11" s="1"/>
  <c r="D265" i="11" s="1"/>
  <c r="E265" i="11" s="1"/>
  <c r="G265" i="11" s="1"/>
  <c r="F265" i="11" l="1"/>
  <c r="B267" i="11"/>
  <c r="C266" i="11" s="1"/>
  <c r="D266" i="11" s="1"/>
  <c r="E266" i="11" s="1"/>
  <c r="G266" i="11" s="1"/>
  <c r="F266" i="11" l="1"/>
  <c r="B268" i="11"/>
  <c r="C267" i="11" s="1"/>
  <c r="D267" i="11" s="1"/>
  <c r="E267" i="11" s="1"/>
  <c r="G267" i="11" s="1"/>
  <c r="F267" i="11" l="1"/>
  <c r="B269" i="11"/>
  <c r="C268" i="11" s="1"/>
  <c r="D268" i="11" s="1"/>
  <c r="E268" i="11" s="1"/>
  <c r="G268" i="11" s="1"/>
  <c r="F268" i="11" l="1"/>
  <c r="B270" i="11"/>
  <c r="C269" i="11" s="1"/>
  <c r="D269" i="11" s="1"/>
  <c r="E269" i="11" s="1"/>
  <c r="G269" i="11" s="1"/>
  <c r="F269" i="11" l="1"/>
  <c r="B271" i="11"/>
  <c r="C270" i="11" s="1"/>
  <c r="D270" i="11" s="1"/>
  <c r="E270" i="11" s="1"/>
  <c r="G270" i="11" s="1"/>
  <c r="F270" i="11" l="1"/>
  <c r="B272" i="11"/>
  <c r="C271" i="11" s="1"/>
  <c r="D271" i="11" s="1"/>
  <c r="E271" i="11" s="1"/>
  <c r="G271" i="11" s="1"/>
  <c r="F271" i="11" l="1"/>
  <c r="B273" i="11"/>
  <c r="C272" i="11" s="1"/>
  <c r="D272" i="11" s="1"/>
  <c r="E272" i="11" s="1"/>
  <c r="G272" i="11" s="1"/>
  <c r="F272" i="11" l="1"/>
  <c r="B274" i="11"/>
  <c r="C273" i="11" s="1"/>
  <c r="D273" i="11" s="1"/>
  <c r="E273" i="11" s="1"/>
  <c r="G273" i="11" s="1"/>
  <c r="F273" i="11" l="1"/>
  <c r="B275" i="11"/>
  <c r="B276" i="11" l="1"/>
  <c r="C275" i="11" s="1"/>
  <c r="D275" i="11" s="1"/>
  <c r="E275" i="11" s="1"/>
  <c r="G275" i="11" s="1"/>
  <c r="C274" i="11"/>
  <c r="D274" i="11" s="1"/>
  <c r="E274" i="11" l="1"/>
  <c r="G274" i="11" s="1"/>
  <c r="F274" i="11"/>
  <c r="F275" i="11"/>
  <c r="B277" i="11"/>
  <c r="C276" i="11" s="1"/>
  <c r="D276" i="11" s="1"/>
  <c r="E276" i="11" s="1"/>
  <c r="G276" i="11" s="1"/>
  <c r="F276" i="11" l="1"/>
  <c r="B278" i="11"/>
  <c r="C277" i="11" s="1"/>
  <c r="D277" i="11" s="1"/>
  <c r="E277" i="11" s="1"/>
  <c r="G277" i="11" s="1"/>
  <c r="F277" i="11" l="1"/>
  <c r="B279" i="11"/>
  <c r="C278" i="11" s="1"/>
  <c r="D278" i="11" s="1"/>
  <c r="E278" i="11" s="1"/>
  <c r="G278" i="11" s="1"/>
  <c r="F278" i="11" l="1"/>
  <c r="B280" i="11"/>
  <c r="C279" i="11" s="1"/>
  <c r="D279" i="11" s="1"/>
  <c r="E279" i="11" s="1"/>
  <c r="G279" i="11" s="1"/>
  <c r="F279" i="11" l="1"/>
  <c r="B281" i="11"/>
  <c r="C280" i="11" s="1"/>
  <c r="D280" i="11" s="1"/>
  <c r="E280" i="11" s="1"/>
  <c r="G280" i="11" s="1"/>
  <c r="F280" i="11" l="1"/>
  <c r="B282" i="11"/>
  <c r="C281" i="11" s="1"/>
  <c r="D281" i="11" s="1"/>
  <c r="E281" i="11" s="1"/>
  <c r="G281" i="11" s="1"/>
  <c r="F281" i="11" l="1"/>
  <c r="B283" i="11"/>
  <c r="C282" i="11" s="1"/>
  <c r="D282" i="11" s="1"/>
  <c r="E282" i="11" s="1"/>
  <c r="G282" i="11" s="1"/>
  <c r="F282" i="11" l="1"/>
  <c r="B284" i="11"/>
  <c r="C283" i="11" s="1"/>
  <c r="D283" i="11" s="1"/>
  <c r="E283" i="11" s="1"/>
  <c r="G283" i="11" s="1"/>
  <c r="F283" i="11" l="1"/>
  <c r="B285" i="11"/>
  <c r="C284" i="11" s="1"/>
  <c r="D284" i="11" s="1"/>
  <c r="E284" i="11" s="1"/>
  <c r="G284" i="11" s="1"/>
  <c r="F284" i="11" l="1"/>
  <c r="B286" i="11"/>
  <c r="C285" i="11" s="1"/>
  <c r="D285" i="11" s="1"/>
  <c r="E285" i="11" s="1"/>
  <c r="G285" i="11" s="1"/>
  <c r="F285" i="11" l="1"/>
  <c r="B287" i="11"/>
  <c r="C286" i="11" s="1"/>
  <c r="D286" i="11" s="1"/>
  <c r="E286" i="11" s="1"/>
  <c r="G286" i="11" s="1"/>
  <c r="F286" i="11" l="1"/>
  <c r="B288" i="11"/>
  <c r="C287" i="11" s="1"/>
  <c r="D287" i="11" s="1"/>
  <c r="E287" i="11" s="1"/>
  <c r="G287" i="11" s="1"/>
  <c r="F287" i="11" l="1"/>
  <c r="B289" i="11"/>
  <c r="C288" i="11" s="1"/>
  <c r="D288" i="11" s="1"/>
  <c r="E288" i="11" s="1"/>
  <c r="G288" i="11" s="1"/>
  <c r="F288" i="11" l="1"/>
  <c r="B290" i="11"/>
  <c r="C289" i="11" s="1"/>
  <c r="D289" i="11" s="1"/>
  <c r="E289" i="11" s="1"/>
  <c r="G289" i="11" s="1"/>
  <c r="F289" i="11" l="1"/>
  <c r="B291" i="11"/>
  <c r="C290" i="11" s="1"/>
  <c r="D290" i="11" s="1"/>
  <c r="E290" i="11" s="1"/>
  <c r="G290" i="11" s="1"/>
  <c r="F290" i="11" l="1"/>
  <c r="B292" i="11"/>
  <c r="C291" i="11" s="1"/>
  <c r="D291" i="11" s="1"/>
  <c r="E291" i="11" s="1"/>
  <c r="G291" i="11" s="1"/>
  <c r="F291" i="11" l="1"/>
  <c r="B293" i="11"/>
  <c r="C292" i="11" s="1"/>
  <c r="D292" i="11" s="1"/>
  <c r="E292" i="11" s="1"/>
  <c r="G292" i="11" s="1"/>
  <c r="F292" i="11" l="1"/>
  <c r="B294" i="11"/>
  <c r="C293" i="11" s="1"/>
  <c r="D293" i="11" s="1"/>
  <c r="E293" i="11" s="1"/>
  <c r="G293" i="11" s="1"/>
  <c r="F293" i="11" l="1"/>
  <c r="B295" i="11"/>
  <c r="C294" i="11" s="1"/>
  <c r="D294" i="11" s="1"/>
  <c r="E294" i="11" s="1"/>
  <c r="G294" i="11" s="1"/>
  <c r="F294" i="11" l="1"/>
  <c r="B296" i="11"/>
  <c r="B297" i="11" l="1"/>
  <c r="C296" i="11" s="1"/>
  <c r="D296" i="11" s="1"/>
  <c r="F296" i="11" s="1"/>
  <c r="C295" i="11"/>
  <c r="D295" i="11" s="1"/>
  <c r="E295" i="11" l="1"/>
  <c r="G295" i="11" s="1"/>
  <c r="F295" i="11"/>
  <c r="E296" i="11"/>
  <c r="G296" i="11" s="1"/>
  <c r="B298" i="11"/>
  <c r="C297" i="11" s="1"/>
  <c r="D297" i="11" s="1"/>
  <c r="E297" i="11" s="1"/>
  <c r="G297" i="11" s="1"/>
  <c r="F297" i="11" l="1"/>
  <c r="B299" i="11"/>
  <c r="C298" i="11" s="1"/>
  <c r="D298" i="11" s="1"/>
  <c r="E298" i="11" s="1"/>
  <c r="G298" i="11" s="1"/>
  <c r="F298" i="11" l="1"/>
  <c r="B300" i="11"/>
  <c r="C299" i="11" s="1"/>
  <c r="D299" i="11" s="1"/>
  <c r="E299" i="11" s="1"/>
  <c r="G299" i="11" s="1"/>
  <c r="F299" i="11" l="1"/>
  <c r="B301" i="11"/>
  <c r="B302" i="11" l="1"/>
  <c r="C300" i="11"/>
  <c r="D300" i="11" s="1"/>
  <c r="E300" i="11" l="1"/>
  <c r="G300" i="11" s="1"/>
  <c r="F300" i="11"/>
  <c r="C301" i="11"/>
  <c r="D301" i="11" s="1"/>
  <c r="B303" i="11"/>
  <c r="E301" i="11" l="1"/>
  <c r="G301" i="11" s="1"/>
  <c r="F301" i="11"/>
  <c r="B304" i="11"/>
  <c r="C302" i="11"/>
  <c r="D302" i="11" s="1"/>
  <c r="E302" i="11" l="1"/>
  <c r="G302" i="11" s="1"/>
  <c r="F302" i="11"/>
  <c r="C303" i="11"/>
  <c r="D303" i="11" s="1"/>
  <c r="B305" i="11"/>
  <c r="E303" i="11" l="1"/>
  <c r="G303" i="11" s="1"/>
  <c r="F303" i="11"/>
  <c r="C304" i="11"/>
  <c r="D304" i="11" s="1"/>
  <c r="B306" i="11"/>
  <c r="E304" i="11" l="1"/>
  <c r="G304" i="11" s="1"/>
  <c r="F304" i="11"/>
  <c r="C305" i="11"/>
  <c r="D305" i="11" s="1"/>
  <c r="B307" i="11"/>
  <c r="E305" i="11" l="1"/>
  <c r="G305" i="11" s="1"/>
  <c r="F305" i="11"/>
  <c r="C306" i="11"/>
  <c r="D306" i="11" s="1"/>
  <c r="B308" i="11"/>
  <c r="E306" i="11" l="1"/>
  <c r="G306" i="11" s="1"/>
  <c r="F306" i="11"/>
  <c r="C307" i="11"/>
  <c r="D307" i="11" s="1"/>
  <c r="B309" i="11"/>
  <c r="E307" i="11" l="1"/>
  <c r="G307" i="11" s="1"/>
  <c r="F307" i="11"/>
  <c r="B310" i="11"/>
  <c r="C308" i="11"/>
  <c r="D308" i="11" s="1"/>
  <c r="E308" i="11" l="1"/>
  <c r="G308" i="11" s="1"/>
  <c r="F308" i="11"/>
  <c r="C309" i="11"/>
  <c r="D309" i="11" s="1"/>
  <c r="B311" i="11"/>
  <c r="E309" i="11" l="1"/>
  <c r="G309" i="11" s="1"/>
  <c r="F309" i="11"/>
  <c r="C310" i="11"/>
  <c r="D310" i="11" s="1"/>
  <c r="B312" i="11"/>
  <c r="E310" i="11" l="1"/>
  <c r="G310" i="11" s="1"/>
  <c r="F310" i="11"/>
  <c r="B313" i="11"/>
  <c r="C312" i="11"/>
  <c r="D312" i="11" s="1"/>
  <c r="F312" i="11" s="1"/>
  <c r="C311" i="11"/>
  <c r="D311" i="11" s="1"/>
  <c r="E311" i="11" l="1"/>
  <c r="G311" i="11" s="1"/>
  <c r="F311" i="11"/>
  <c r="E312" i="11"/>
  <c r="G312" i="11" s="1"/>
  <c r="B314" i="11"/>
  <c r="C313" i="11" l="1"/>
  <c r="D313" i="11" s="1"/>
  <c r="B315" i="11"/>
  <c r="E313" i="11" l="1"/>
  <c r="G313" i="11" s="1"/>
  <c r="F313" i="11"/>
  <c r="C314" i="11"/>
  <c r="D314" i="11" s="1"/>
  <c r="B316" i="11"/>
  <c r="E314" i="11" l="1"/>
  <c r="G314" i="11" s="1"/>
  <c r="F314" i="11"/>
  <c r="B317" i="11"/>
  <c r="C315" i="11"/>
  <c r="D315" i="11" s="1"/>
  <c r="E315" i="11" l="1"/>
  <c r="G315" i="11" s="1"/>
  <c r="F315" i="11"/>
  <c r="B318" i="11"/>
  <c r="C316" i="11"/>
  <c r="D316" i="11" s="1"/>
  <c r="E316" i="11" l="1"/>
  <c r="G316" i="11" s="1"/>
  <c r="F316" i="11"/>
  <c r="C317" i="11"/>
  <c r="D317" i="11" s="1"/>
  <c r="B319" i="11"/>
  <c r="E317" i="11" l="1"/>
  <c r="G317" i="11" s="1"/>
  <c r="F317" i="11"/>
  <c r="C318" i="11"/>
  <c r="D318" i="11" s="1"/>
  <c r="B320" i="11"/>
  <c r="E318" i="11" l="1"/>
  <c r="G318" i="11" s="1"/>
  <c r="F318" i="11"/>
  <c r="B321" i="11"/>
  <c r="C320" i="11" s="1"/>
  <c r="D320" i="11" s="1"/>
  <c r="F320" i="11" s="1"/>
  <c r="C319" i="11"/>
  <c r="D319" i="11" s="1"/>
  <c r="E319" i="11" l="1"/>
  <c r="G319" i="11" s="1"/>
  <c r="F319" i="11"/>
  <c r="E320" i="11"/>
  <c r="G320" i="11" s="1"/>
  <c r="B322" i="11"/>
  <c r="B323" i="11" l="1"/>
  <c r="C322" i="11"/>
  <c r="D322" i="11" s="1"/>
  <c r="E322" i="11" s="1"/>
  <c r="G322" i="11" s="1"/>
  <c r="C321" i="11"/>
  <c r="D321" i="11" s="1"/>
  <c r="E321" i="11" l="1"/>
  <c r="G321" i="11" s="1"/>
  <c r="F321" i="11"/>
  <c r="F322" i="11"/>
  <c r="B324" i="11"/>
  <c r="B325" i="11" l="1"/>
  <c r="C323" i="11"/>
  <c r="D323" i="11" s="1"/>
  <c r="E323" i="11" l="1"/>
  <c r="G323" i="11" s="1"/>
  <c r="F323" i="11"/>
  <c r="B326" i="11"/>
  <c r="C324" i="11"/>
  <c r="D324" i="11" s="1"/>
  <c r="E324" i="11" l="1"/>
  <c r="G324" i="11" s="1"/>
  <c r="F324" i="11"/>
  <c r="C325" i="11"/>
  <c r="D325" i="11" s="1"/>
  <c r="B327" i="11"/>
  <c r="E325" i="11" l="1"/>
  <c r="G325" i="11" s="1"/>
  <c r="F325" i="11"/>
  <c r="C326" i="11"/>
  <c r="D326" i="11" s="1"/>
  <c r="B328" i="11"/>
  <c r="E326" i="11" l="1"/>
  <c r="G326" i="11" s="1"/>
  <c r="F326" i="11"/>
  <c r="C327" i="11"/>
  <c r="D327" i="11" s="1"/>
  <c r="B329" i="11"/>
  <c r="E327" i="11" l="1"/>
  <c r="G327" i="11" s="1"/>
  <c r="F327" i="11"/>
  <c r="B330" i="11"/>
  <c r="C328" i="11"/>
  <c r="D328" i="11" s="1"/>
  <c r="E328" i="11" l="1"/>
  <c r="G328" i="11" s="1"/>
  <c r="F328" i="11"/>
  <c r="C329" i="11"/>
  <c r="D329" i="11" s="1"/>
  <c r="B331" i="11"/>
  <c r="E329" i="11" l="1"/>
  <c r="G329" i="11" s="1"/>
  <c r="F329" i="11"/>
  <c r="C330" i="11"/>
  <c r="D330" i="11" s="1"/>
  <c r="B332" i="11"/>
  <c r="E330" i="11" l="1"/>
  <c r="G330" i="11" s="1"/>
  <c r="F330" i="11"/>
  <c r="C331" i="11"/>
  <c r="D331" i="11" s="1"/>
  <c r="B333" i="11"/>
  <c r="E331" i="11" l="1"/>
  <c r="G331" i="11" s="1"/>
  <c r="F331" i="11"/>
  <c r="B334" i="11"/>
  <c r="C332" i="11"/>
  <c r="D332" i="11" s="1"/>
  <c r="E332" i="11" l="1"/>
  <c r="G332" i="11" s="1"/>
  <c r="F332" i="11"/>
  <c r="C333" i="11"/>
  <c r="D333" i="11" s="1"/>
  <c r="B335" i="11"/>
  <c r="E333" i="11" l="1"/>
  <c r="G333" i="11" s="1"/>
  <c r="F333" i="11"/>
  <c r="C334" i="11"/>
  <c r="D334" i="11" s="1"/>
  <c r="B336" i="11"/>
  <c r="E334" i="11" l="1"/>
  <c r="G334" i="11" s="1"/>
  <c r="F334" i="11"/>
  <c r="C335" i="11"/>
  <c r="D335" i="11" s="1"/>
  <c r="G336" i="11"/>
  <c r="F336" i="11"/>
  <c r="B337" i="11"/>
  <c r="G337" i="11" s="1"/>
  <c r="E335" i="11" l="1"/>
  <c r="G335" i="11" s="1"/>
  <c r="F335" i="11"/>
  <c r="F337" i="11"/>
  <c r="B338" i="11"/>
  <c r="C336" i="11"/>
  <c r="D336" i="11" s="1"/>
  <c r="E336" i="11" s="1"/>
  <c r="C337" i="11" l="1"/>
  <c r="D337" i="11" s="1"/>
  <c r="E337" i="11" s="1"/>
  <c r="G338" i="11"/>
  <c r="F338" i="11"/>
  <c r="B339" i="11"/>
  <c r="G339" i="11" s="1"/>
  <c r="F339" i="11" l="1"/>
  <c r="B340" i="11"/>
  <c r="G340" i="11" s="1"/>
  <c r="C338" i="11"/>
  <c r="D338" i="11" s="1"/>
  <c r="E338" i="11" s="1"/>
  <c r="F340" i="11" l="1"/>
  <c r="B341" i="11"/>
  <c r="C339" i="11"/>
  <c r="D339" i="11" s="1"/>
  <c r="E339" i="11" s="1"/>
  <c r="C340" i="11" l="1"/>
  <c r="D340" i="11" s="1"/>
  <c r="E340" i="11" s="1"/>
  <c r="G341" i="11"/>
  <c r="F341" i="11"/>
  <c r="B342" i="11"/>
  <c r="C341" i="11" l="1"/>
  <c r="D341" i="11" s="1"/>
  <c r="E341" i="11" s="1"/>
  <c r="G342" i="11"/>
  <c r="F342" i="11"/>
  <c r="B343" i="11"/>
  <c r="G343" i="11" s="1"/>
  <c r="F343" i="11" l="1"/>
  <c r="B344" i="11"/>
  <c r="C342" i="11"/>
  <c r="D342" i="11" s="1"/>
  <c r="E342" i="11" s="1"/>
  <c r="C343" i="11" l="1"/>
  <c r="D343" i="11" s="1"/>
  <c r="E343" i="11" s="1"/>
  <c r="G344" i="11"/>
  <c r="F344" i="11"/>
  <c r="B345" i="11"/>
  <c r="G345" i="11" s="1"/>
  <c r="C344" i="11" l="1"/>
  <c r="D344" i="11" s="1"/>
  <c r="E344" i="11" s="1"/>
  <c r="F345" i="11"/>
  <c r="B346" i="11"/>
  <c r="G346" i="11" s="1"/>
  <c r="C345" i="11" l="1"/>
  <c r="D345" i="11" s="1"/>
  <c r="E345" i="11" s="1"/>
  <c r="F346" i="11"/>
  <c r="B347" i="11"/>
  <c r="G347" i="11" s="1"/>
  <c r="F347" i="11" l="1"/>
  <c r="B348" i="11"/>
  <c r="C346" i="11"/>
  <c r="D346" i="11" s="1"/>
  <c r="E346" i="11" s="1"/>
  <c r="C347" i="11" l="1"/>
  <c r="D347" i="11" s="1"/>
  <c r="E347" i="11" s="1"/>
  <c r="G348" i="11"/>
  <c r="F348" i="11"/>
  <c r="B349" i="11"/>
  <c r="C348" i="11" l="1"/>
  <c r="D348" i="11" s="1"/>
  <c r="E348" i="11" s="1"/>
  <c r="G349" i="11"/>
  <c r="F349" i="11"/>
  <c r="B350" i="11"/>
  <c r="G350" i="11" s="1"/>
  <c r="F350" i="11" l="1"/>
  <c r="B351" i="11"/>
  <c r="G351" i="11" s="1"/>
  <c r="C349" i="11"/>
  <c r="D349" i="11" s="1"/>
  <c r="E349" i="11" s="1"/>
  <c r="F351" i="11" l="1"/>
  <c r="B352" i="11"/>
  <c r="C350" i="11"/>
  <c r="D350" i="11" s="1"/>
  <c r="E350" i="11" s="1"/>
  <c r="C351" i="11" l="1"/>
  <c r="D351" i="11" s="1"/>
  <c r="E351" i="11" s="1"/>
  <c r="G352" i="11"/>
  <c r="F352" i="11"/>
  <c r="B353" i="11"/>
  <c r="C352" i="11" l="1"/>
  <c r="D352" i="11" s="1"/>
  <c r="E352" i="11" s="1"/>
  <c r="G353" i="11"/>
  <c r="F353" i="11"/>
  <c r="B354" i="11"/>
  <c r="C353" i="11" l="1"/>
  <c r="D353" i="11" s="1"/>
  <c r="E353" i="11" s="1"/>
  <c r="G354" i="11"/>
  <c r="F354" i="11"/>
  <c r="B355" i="11"/>
  <c r="G355" i="11" s="1"/>
  <c r="F355" i="11" l="1"/>
  <c r="B356" i="11"/>
  <c r="G356" i="11" s="1"/>
  <c r="C354" i="11"/>
  <c r="D354" i="11" s="1"/>
  <c r="E354" i="11" s="1"/>
  <c r="C355" i="11" l="1"/>
  <c r="D355" i="11" s="1"/>
  <c r="E355" i="11" s="1"/>
  <c r="F356" i="11"/>
  <c r="B357" i="11"/>
  <c r="G357" i="11" s="1"/>
  <c r="F357" i="11" l="1"/>
  <c r="B358" i="11"/>
  <c r="G358" i="11" s="1"/>
  <c r="C356" i="11"/>
  <c r="D356" i="11" s="1"/>
  <c r="E356" i="11" s="1"/>
  <c r="F358" i="11" l="1"/>
  <c r="B359" i="11"/>
  <c r="C357" i="11"/>
  <c r="D357" i="11" s="1"/>
  <c r="E357" i="11" s="1"/>
  <c r="C358" i="11" l="1"/>
  <c r="D358" i="11" s="1"/>
  <c r="E358" i="11" s="1"/>
  <c r="G359" i="11"/>
  <c r="F359" i="11"/>
  <c r="B360" i="11"/>
  <c r="C359" i="11" l="1"/>
  <c r="D359" i="11" s="1"/>
  <c r="E359" i="11" s="1"/>
  <c r="G360" i="11"/>
  <c r="F360" i="11"/>
  <c r="B361" i="11"/>
  <c r="G361" i="11" s="1"/>
  <c r="F361" i="11" l="1"/>
  <c r="B362" i="11"/>
  <c r="G362" i="11" s="1"/>
  <c r="C360" i="11"/>
  <c r="D360" i="11" s="1"/>
  <c r="E360" i="11" s="1"/>
  <c r="F362" i="11" l="1"/>
  <c r="B363" i="11"/>
  <c r="G363" i="11" s="1"/>
  <c r="C361" i="11"/>
  <c r="D361" i="11" s="1"/>
  <c r="E361" i="11" s="1"/>
  <c r="F363" i="11" l="1"/>
  <c r="B364" i="11"/>
  <c r="C362" i="11"/>
  <c r="D362" i="11" s="1"/>
  <c r="E362" i="11" s="1"/>
  <c r="C363" i="11" l="1"/>
  <c r="D363" i="11" s="1"/>
  <c r="E363" i="11" s="1"/>
  <c r="G364" i="11"/>
  <c r="F364" i="11"/>
  <c r="B365" i="11"/>
  <c r="G365" i="11" s="1"/>
  <c r="F365" i="11" l="1"/>
  <c r="B366" i="11"/>
  <c r="C364" i="11"/>
  <c r="D364" i="11" s="1"/>
  <c r="E364" i="11" s="1"/>
  <c r="C365" i="11" l="1"/>
  <c r="D365" i="11" s="1"/>
  <c r="E365" i="11" s="1"/>
  <c r="G366" i="11"/>
  <c r="F366" i="11"/>
  <c r="B367" i="11"/>
  <c r="G367" i="11" s="1"/>
  <c r="F367" i="11" l="1"/>
  <c r="B368" i="11"/>
  <c r="C366" i="11"/>
  <c r="D366" i="11" s="1"/>
  <c r="E366" i="11" s="1"/>
  <c r="C367" i="11" l="1"/>
  <c r="D367" i="11" s="1"/>
  <c r="E367" i="11" s="1"/>
  <c r="G368" i="11"/>
  <c r="F368" i="11"/>
  <c r="B369" i="11"/>
  <c r="G369" i="11" s="1"/>
  <c r="F369" i="11" l="1"/>
  <c r="B370" i="11"/>
  <c r="G370" i="11" s="1"/>
  <c r="C368" i="11"/>
  <c r="D368" i="11" s="1"/>
  <c r="E368" i="11" s="1"/>
  <c r="F370" i="11" l="1"/>
  <c r="B371" i="11"/>
  <c r="G371" i="11" s="1"/>
  <c r="C369" i="11"/>
  <c r="D369" i="11" s="1"/>
  <c r="E369" i="11" s="1"/>
  <c r="C370" i="11" l="1"/>
  <c r="D370" i="11" s="1"/>
  <c r="E370" i="11" s="1"/>
  <c r="F371" i="11"/>
  <c r="B372" i="11"/>
  <c r="C371" i="11" l="1"/>
  <c r="D371" i="11" s="1"/>
  <c r="E371" i="11" s="1"/>
  <c r="G372" i="11"/>
  <c r="F372" i="11"/>
  <c r="B373" i="11"/>
  <c r="C372" i="11" l="1"/>
  <c r="D372" i="11" s="1"/>
  <c r="E372" i="11" s="1"/>
  <c r="G373" i="11"/>
  <c r="F373" i="11"/>
  <c r="B374" i="11"/>
  <c r="G374" i="11" s="1"/>
  <c r="F374" i="11" l="1"/>
  <c r="B375" i="11"/>
  <c r="G375" i="11" s="1"/>
  <c r="C373" i="11"/>
  <c r="D373" i="11" s="1"/>
  <c r="E373" i="11" s="1"/>
  <c r="F375" i="11" l="1"/>
  <c r="B376" i="11"/>
  <c r="G376" i="11" s="1"/>
  <c r="C374" i="11"/>
  <c r="D374" i="11" s="1"/>
  <c r="E374" i="11" s="1"/>
  <c r="F376" i="11" l="1"/>
  <c r="B377" i="11"/>
  <c r="G377" i="11" s="1"/>
  <c r="C375" i="11"/>
  <c r="D375" i="11" s="1"/>
  <c r="E375" i="11" s="1"/>
  <c r="C376" i="11" l="1"/>
  <c r="D376" i="11" s="1"/>
  <c r="E376" i="11" s="1"/>
  <c r="F377" i="11"/>
  <c r="B378" i="11"/>
  <c r="G378" i="11" s="1"/>
  <c r="F378" i="11" l="1"/>
  <c r="B379" i="11"/>
  <c r="C377" i="11"/>
  <c r="D377" i="11" s="1"/>
  <c r="E377" i="11" s="1"/>
  <c r="C378" i="11" l="1"/>
  <c r="D378" i="11" s="1"/>
  <c r="E378" i="11" s="1"/>
  <c r="G379" i="11"/>
  <c r="F379" i="11"/>
  <c r="B380" i="11"/>
  <c r="G380" i="11" s="1"/>
  <c r="F380" i="11" l="1"/>
  <c r="B381" i="11"/>
  <c r="G381" i="11" s="1"/>
  <c r="C379" i="11"/>
  <c r="D379" i="11" s="1"/>
  <c r="E379" i="11" s="1"/>
  <c r="F381" i="11" l="1"/>
  <c r="B382" i="11"/>
  <c r="C380" i="11"/>
  <c r="D380" i="11" s="1"/>
  <c r="E380" i="11" s="1"/>
  <c r="C381" i="11" l="1"/>
  <c r="D381" i="11" s="1"/>
  <c r="E381" i="11" s="1"/>
  <c r="G382" i="11"/>
  <c r="F382" i="11"/>
  <c r="B383" i="11"/>
  <c r="G383" i="11" s="1"/>
  <c r="F383" i="11" l="1"/>
  <c r="B384" i="11"/>
  <c r="G384" i="11" s="1"/>
  <c r="C382" i="11"/>
  <c r="D382" i="11" s="1"/>
  <c r="E382" i="11" s="1"/>
  <c r="F384" i="11" l="1"/>
  <c r="B385" i="11"/>
  <c r="G385" i="11" s="1"/>
  <c r="C383" i="11"/>
  <c r="D383" i="11" s="1"/>
  <c r="E383" i="11" s="1"/>
  <c r="F385" i="11" l="1"/>
  <c r="B386" i="11"/>
  <c r="C384" i="11"/>
  <c r="D384" i="11" s="1"/>
  <c r="E384" i="11" s="1"/>
  <c r="C385" i="11" l="1"/>
  <c r="D385" i="11" s="1"/>
  <c r="E385" i="11" s="1"/>
  <c r="G386" i="11"/>
  <c r="F386" i="11"/>
  <c r="B387" i="11"/>
  <c r="G387" i="11" s="1"/>
  <c r="F387" i="11" l="1"/>
  <c r="B388" i="11"/>
  <c r="G388" i="11" s="1"/>
  <c r="C386" i="11"/>
  <c r="D386" i="11" s="1"/>
  <c r="E386" i="11" s="1"/>
  <c r="F388" i="11" l="1"/>
  <c r="B389" i="11"/>
  <c r="C387" i="11"/>
  <c r="D387" i="11" s="1"/>
  <c r="E387" i="11" s="1"/>
  <c r="C388" i="11" l="1"/>
  <c r="D388" i="11" s="1"/>
  <c r="E388" i="11" s="1"/>
  <c r="G389" i="11"/>
  <c r="F389" i="11"/>
  <c r="B390" i="11"/>
  <c r="G390" i="11" s="1"/>
  <c r="F390" i="11" l="1"/>
  <c r="B391" i="11"/>
  <c r="G391" i="11" s="1"/>
  <c r="C389" i="11"/>
  <c r="D389" i="11" s="1"/>
  <c r="E389" i="11" s="1"/>
  <c r="F391" i="11" l="1"/>
  <c r="B392" i="11"/>
  <c r="G392" i="11" s="1"/>
  <c r="C390" i="11"/>
  <c r="D390" i="11" s="1"/>
  <c r="E390" i="11" s="1"/>
  <c r="F392" i="11" l="1"/>
  <c r="B393" i="11"/>
  <c r="C391" i="11"/>
  <c r="D391" i="11" s="1"/>
  <c r="E391" i="11" s="1"/>
  <c r="C392" i="11" l="1"/>
  <c r="D392" i="11" s="1"/>
  <c r="E392" i="11" s="1"/>
  <c r="G393" i="11"/>
  <c r="F393" i="11"/>
  <c r="B394" i="11"/>
  <c r="G394" i="11" s="1"/>
  <c r="F394" i="11" l="1"/>
  <c r="B395" i="11"/>
  <c r="C393" i="11"/>
  <c r="D393" i="11" s="1"/>
  <c r="E393" i="11" s="1"/>
  <c r="C394" i="11" l="1"/>
  <c r="D394" i="11" s="1"/>
  <c r="E394" i="11" s="1"/>
  <c r="G395" i="11"/>
  <c r="F395" i="11"/>
  <c r="B396" i="11"/>
  <c r="C395" i="11" l="1"/>
  <c r="D395" i="11" s="1"/>
  <c r="E395" i="11" s="1"/>
  <c r="G396" i="11"/>
  <c r="F396" i="11"/>
  <c r="B397" i="11"/>
  <c r="G397" i="11" s="1"/>
  <c r="F397" i="11" l="1"/>
  <c r="B398" i="11"/>
  <c r="C396" i="11"/>
  <c r="D396" i="11" s="1"/>
  <c r="E396" i="11" s="1"/>
  <c r="C397" i="11" l="1"/>
  <c r="D397" i="11" s="1"/>
  <c r="E397" i="11" s="1"/>
  <c r="G398" i="11"/>
  <c r="F398" i="11"/>
  <c r="B399" i="11"/>
  <c r="C398" i="11" l="1"/>
  <c r="D398" i="11" s="1"/>
  <c r="E398" i="11" s="1"/>
  <c r="G399" i="11"/>
  <c r="F399" i="11"/>
  <c r="B400" i="11"/>
  <c r="C399" i="11" l="1"/>
  <c r="D399" i="11" s="1"/>
  <c r="E399" i="11" s="1"/>
  <c r="G400" i="11"/>
  <c r="F400" i="11"/>
  <c r="B401" i="11"/>
  <c r="G401" i="11" s="1"/>
  <c r="F401" i="11" l="1"/>
  <c r="B402" i="11"/>
  <c r="C400" i="11"/>
  <c r="D400" i="11" s="1"/>
  <c r="E400" i="11" s="1"/>
  <c r="C401" i="11" l="1"/>
  <c r="D401" i="11" s="1"/>
  <c r="E401" i="11" s="1"/>
  <c r="G402" i="11"/>
  <c r="F402" i="11"/>
  <c r="B403" i="11"/>
  <c r="C402" i="11" l="1"/>
  <c r="D402" i="11" s="1"/>
  <c r="E402" i="11" s="1"/>
  <c r="G403" i="11"/>
  <c r="F403" i="11"/>
  <c r="B404" i="11"/>
  <c r="G404" i="11" s="1"/>
  <c r="C403" i="11" l="1"/>
  <c r="D403" i="11" s="1"/>
  <c r="E403" i="11" s="1"/>
  <c r="F404" i="11"/>
  <c r="B405" i="11"/>
  <c r="G405" i="11" s="1"/>
  <c r="F405" i="11" l="1"/>
  <c r="B406" i="11"/>
  <c r="C404" i="11"/>
  <c r="D404" i="11" s="1"/>
  <c r="E404" i="11" s="1"/>
  <c r="C405" i="11" l="1"/>
  <c r="D405" i="11" s="1"/>
  <c r="E405" i="11" s="1"/>
  <c r="G406" i="11"/>
  <c r="F406" i="11"/>
  <c r="B407" i="11"/>
  <c r="G407" i="11" s="1"/>
  <c r="F407" i="11" l="1"/>
  <c r="B408" i="11"/>
  <c r="G408" i="11" s="1"/>
  <c r="C406" i="11"/>
  <c r="D406" i="11" s="1"/>
  <c r="E406" i="11" s="1"/>
  <c r="F408" i="11" l="1"/>
  <c r="B409" i="11"/>
  <c r="G409" i="11" s="1"/>
  <c r="C407" i="11"/>
  <c r="D407" i="11" s="1"/>
  <c r="E407" i="11" s="1"/>
  <c r="F409" i="11" l="1"/>
  <c r="B410" i="11"/>
  <c r="G410" i="11" s="1"/>
  <c r="C408" i="11"/>
  <c r="D408" i="11" s="1"/>
  <c r="E408" i="11" s="1"/>
  <c r="F410" i="11" l="1"/>
  <c r="B411" i="11"/>
  <c r="C409" i="11"/>
  <c r="D409" i="11" s="1"/>
  <c r="E409" i="11" s="1"/>
  <c r="C410" i="11" l="1"/>
  <c r="D410" i="11" s="1"/>
  <c r="E410" i="11" s="1"/>
  <c r="G411" i="11"/>
  <c r="F411" i="11"/>
  <c r="B412" i="11"/>
  <c r="C411" i="11" l="1"/>
  <c r="D411" i="11" s="1"/>
  <c r="E411" i="11" s="1"/>
  <c r="G412" i="11"/>
  <c r="F412" i="11"/>
  <c r="B413" i="11"/>
  <c r="C412" i="11" l="1"/>
  <c r="D412" i="11" s="1"/>
  <c r="E412" i="11" s="1"/>
  <c r="G413" i="11"/>
  <c r="F413" i="11"/>
  <c r="B414" i="11"/>
  <c r="G414" i="11" s="1"/>
  <c r="F414" i="11" l="1"/>
  <c r="B415" i="11"/>
  <c r="G415" i="11" s="1"/>
  <c r="C413" i="11"/>
  <c r="D413" i="11" s="1"/>
  <c r="E413" i="11" s="1"/>
  <c r="F415" i="11" l="1"/>
  <c r="B416" i="11"/>
  <c r="C414" i="11"/>
  <c r="D414" i="11" s="1"/>
  <c r="E414" i="11" s="1"/>
  <c r="C415" i="11" l="1"/>
  <c r="D415" i="11" s="1"/>
  <c r="E415" i="11" s="1"/>
  <c r="G416" i="11"/>
  <c r="F416" i="11"/>
  <c r="B417" i="11"/>
  <c r="C416" i="11" l="1"/>
  <c r="D416" i="11" s="1"/>
  <c r="E416" i="11" s="1"/>
  <c r="G417" i="11"/>
  <c r="F417" i="11"/>
  <c r="B418" i="11"/>
  <c r="G418" i="11" s="1"/>
  <c r="F418" i="11" l="1"/>
  <c r="B419" i="11"/>
  <c r="G419" i="11" s="1"/>
  <c r="C417" i="11"/>
  <c r="D417" i="11" s="1"/>
  <c r="E417" i="11" s="1"/>
  <c r="F419" i="11" l="1"/>
  <c r="B420" i="11"/>
  <c r="G420" i="11" s="1"/>
  <c r="C418" i="11"/>
  <c r="D418" i="11" s="1"/>
  <c r="E418" i="11" s="1"/>
  <c r="F420" i="11" l="1"/>
  <c r="B421" i="11"/>
  <c r="C419" i="11"/>
  <c r="D419" i="11" s="1"/>
  <c r="E419" i="11" s="1"/>
  <c r="C420" i="11" l="1"/>
  <c r="D420" i="11" s="1"/>
  <c r="E420" i="11" s="1"/>
  <c r="G421" i="11"/>
  <c r="F421" i="11"/>
  <c r="B422" i="11"/>
  <c r="C421" i="11" l="1"/>
  <c r="D421" i="11" s="1"/>
  <c r="E421" i="11" s="1"/>
  <c r="G422" i="11"/>
  <c r="F422" i="11"/>
  <c r="B423" i="11"/>
  <c r="C422" i="11" l="1"/>
  <c r="D422" i="11" s="1"/>
  <c r="E422" i="11" s="1"/>
  <c r="G423" i="11"/>
  <c r="F423" i="11"/>
  <c r="B424" i="11"/>
  <c r="G424" i="11" s="1"/>
  <c r="F424" i="11" l="1"/>
  <c r="B425" i="11"/>
  <c r="C423" i="11"/>
  <c r="D423" i="11" s="1"/>
  <c r="E423" i="11" s="1"/>
  <c r="C424" i="11" l="1"/>
  <c r="D424" i="11" s="1"/>
  <c r="E424" i="11" s="1"/>
  <c r="G425" i="11"/>
  <c r="F425" i="11"/>
  <c r="B426" i="11"/>
  <c r="C425" i="11" l="1"/>
  <c r="D425" i="11" s="1"/>
  <c r="E425" i="11" s="1"/>
  <c r="G426" i="11"/>
  <c r="F426" i="11"/>
  <c r="B427" i="11"/>
  <c r="G427" i="11" s="1"/>
  <c r="F427" i="11" l="1"/>
  <c r="B428" i="11"/>
  <c r="G428" i="11" s="1"/>
  <c r="C426" i="11"/>
  <c r="D426" i="11" s="1"/>
  <c r="E426" i="11" s="1"/>
  <c r="F428" i="11" l="1"/>
  <c r="B429" i="11"/>
  <c r="C427" i="11"/>
  <c r="D427" i="11" s="1"/>
  <c r="E427" i="11" s="1"/>
  <c r="C428" i="11" l="1"/>
  <c r="D428" i="11" s="1"/>
  <c r="E428" i="11" s="1"/>
  <c r="G429" i="11"/>
  <c r="F429" i="11"/>
  <c r="B430" i="11"/>
  <c r="C429" i="11" l="1"/>
  <c r="D429" i="11" s="1"/>
  <c r="E429" i="11" s="1"/>
  <c r="G430" i="11"/>
  <c r="F430" i="11"/>
  <c r="B431" i="11"/>
  <c r="G431" i="11" s="1"/>
  <c r="F431" i="11" l="1"/>
  <c r="B432" i="11"/>
  <c r="C430" i="11"/>
  <c r="D430" i="11" s="1"/>
  <c r="E430" i="11" s="1"/>
  <c r="C431" i="11" l="1"/>
  <c r="D431" i="11" s="1"/>
  <c r="E431" i="11" s="1"/>
  <c r="G432" i="11"/>
  <c r="F432" i="11"/>
  <c r="B433" i="11"/>
  <c r="C432" i="11" l="1"/>
  <c r="D432" i="11" s="1"/>
  <c r="E432" i="11" s="1"/>
  <c r="G433" i="11"/>
  <c r="F433" i="11"/>
  <c r="B434" i="11"/>
  <c r="G434" i="11" s="1"/>
  <c r="F434" i="11" l="1"/>
  <c r="B435" i="11"/>
  <c r="C433" i="11"/>
  <c r="D433" i="11" s="1"/>
  <c r="E433" i="11" s="1"/>
  <c r="C434" i="11" l="1"/>
  <c r="D434" i="11" s="1"/>
  <c r="E434" i="11" s="1"/>
  <c r="G435" i="11"/>
  <c r="F435" i="11"/>
  <c r="B436" i="11"/>
  <c r="G436" i="11" s="1"/>
  <c r="F436" i="11" l="1"/>
  <c r="B437" i="11"/>
  <c r="C435" i="11"/>
  <c r="D435" i="11" s="1"/>
  <c r="E435" i="11" s="1"/>
  <c r="C436" i="11" l="1"/>
  <c r="D436" i="11" s="1"/>
  <c r="E436" i="11" s="1"/>
  <c r="G437" i="11"/>
  <c r="F437" i="11"/>
  <c r="B438" i="11"/>
  <c r="C437" i="11" l="1"/>
  <c r="D437" i="11" s="1"/>
  <c r="E437" i="11" s="1"/>
  <c r="G438" i="11"/>
  <c r="F438" i="11"/>
  <c r="B439" i="11"/>
  <c r="G439" i="11" s="1"/>
  <c r="F439" i="11" l="1"/>
  <c r="B440" i="11"/>
  <c r="C438" i="11"/>
  <c r="D438" i="11" s="1"/>
  <c r="E438" i="11" s="1"/>
  <c r="C439" i="11" l="1"/>
  <c r="D439" i="11" s="1"/>
  <c r="E439" i="11" s="1"/>
  <c r="G440" i="11"/>
  <c r="F440" i="11"/>
  <c r="B441" i="11"/>
  <c r="G441" i="11" s="1"/>
  <c r="F441" i="11" l="1"/>
  <c r="B442" i="11"/>
  <c r="C440" i="11"/>
  <c r="D440" i="11" s="1"/>
  <c r="E440" i="11" s="1"/>
  <c r="C441" i="11" l="1"/>
  <c r="D441" i="11" s="1"/>
  <c r="E441" i="11" s="1"/>
  <c r="G442" i="11"/>
  <c r="F442" i="11"/>
  <c r="B443" i="11"/>
  <c r="G443" i="11" s="1"/>
  <c r="F443" i="11" l="1"/>
  <c r="B444" i="11"/>
  <c r="G444" i="11" s="1"/>
  <c r="C442" i="11"/>
  <c r="D442" i="11" s="1"/>
  <c r="E442" i="11" s="1"/>
  <c r="F444" i="11" l="1"/>
  <c r="B445" i="11"/>
  <c r="G445" i="11" s="1"/>
  <c r="C443" i="11"/>
  <c r="D443" i="11" s="1"/>
  <c r="E443" i="11" s="1"/>
  <c r="F445" i="11" l="1"/>
  <c r="B446" i="11"/>
  <c r="G446" i="11" s="1"/>
  <c r="C444" i="11"/>
  <c r="D444" i="11" s="1"/>
  <c r="E444" i="11" s="1"/>
  <c r="C445" i="11" l="1"/>
  <c r="D445" i="11" s="1"/>
  <c r="E445" i="11" s="1"/>
  <c r="F446" i="11"/>
  <c r="B447" i="11"/>
  <c r="G447" i="11" s="1"/>
  <c r="F447" i="11" l="1"/>
  <c r="B448" i="11"/>
  <c r="C446" i="11"/>
  <c r="D446" i="11" s="1"/>
  <c r="E446" i="11" s="1"/>
  <c r="C447" i="11" l="1"/>
  <c r="D447" i="11" s="1"/>
  <c r="E447" i="11" s="1"/>
  <c r="G448" i="11"/>
  <c r="F448" i="11"/>
  <c r="B449" i="11"/>
  <c r="C448" i="11" l="1"/>
  <c r="D448" i="11" s="1"/>
  <c r="E448" i="11" s="1"/>
  <c r="G449" i="11"/>
  <c r="F449" i="11"/>
  <c r="B450" i="11"/>
  <c r="G450" i="11" s="1"/>
  <c r="C449" i="11" l="1"/>
  <c r="D449" i="11" s="1"/>
  <c r="E449" i="11" s="1"/>
  <c r="F450" i="11"/>
  <c r="B451" i="11"/>
  <c r="G451" i="11" s="1"/>
  <c r="F451" i="11" l="1"/>
  <c r="B452" i="11"/>
  <c r="G452" i="11" s="1"/>
  <c r="C450" i="11"/>
  <c r="D450" i="11" s="1"/>
  <c r="E450" i="11" s="1"/>
  <c r="F452" i="11" l="1"/>
  <c r="B453" i="11"/>
  <c r="G453" i="11" s="1"/>
  <c r="C451" i="11"/>
  <c r="D451" i="11" s="1"/>
  <c r="E451" i="11" s="1"/>
  <c r="F453" i="11" l="1"/>
  <c r="B454" i="11"/>
  <c r="G454" i="11" s="1"/>
  <c r="C452" i="11"/>
  <c r="D452" i="11" s="1"/>
  <c r="E452" i="11" s="1"/>
  <c r="F454" i="11" l="1"/>
  <c r="B455" i="11"/>
  <c r="C453" i="11"/>
  <c r="D453" i="11" s="1"/>
  <c r="E453" i="11" s="1"/>
  <c r="C454" i="11" l="1"/>
  <c r="D454" i="11" s="1"/>
  <c r="E454" i="11" s="1"/>
  <c r="G455" i="11"/>
  <c r="F455" i="11"/>
  <c r="B456" i="11"/>
  <c r="C455" i="11" l="1"/>
  <c r="D455" i="11" s="1"/>
  <c r="E455" i="11" s="1"/>
  <c r="G456" i="11"/>
  <c r="F456" i="11"/>
  <c r="B457" i="11"/>
  <c r="G457" i="11" s="1"/>
  <c r="C456" i="11" l="1"/>
  <c r="D456" i="11" s="1"/>
  <c r="E456" i="11" s="1"/>
  <c r="F457" i="11"/>
  <c r="B458" i="11"/>
  <c r="G458" i="11" s="1"/>
  <c r="F458" i="11" l="1"/>
  <c r="B459" i="11"/>
  <c r="G459" i="11" s="1"/>
  <c r="C457" i="11"/>
  <c r="D457" i="11" s="1"/>
  <c r="E457" i="11" s="1"/>
  <c r="C458" i="11" l="1"/>
  <c r="D458" i="11" s="1"/>
  <c r="E458" i="11" s="1"/>
  <c r="F459" i="11"/>
  <c r="B460" i="11"/>
  <c r="G460" i="11" s="1"/>
  <c r="F460" i="11" l="1"/>
  <c r="B461" i="11"/>
  <c r="G461" i="11" s="1"/>
  <c r="C459" i="11"/>
  <c r="D459" i="11" s="1"/>
  <c r="E459" i="11" s="1"/>
  <c r="F461" i="11" l="1"/>
  <c r="B462" i="11"/>
  <c r="C460" i="11"/>
  <c r="D460" i="11" s="1"/>
  <c r="E460" i="11" s="1"/>
  <c r="C461" i="11" l="1"/>
  <c r="D461" i="11" s="1"/>
  <c r="E461" i="11" s="1"/>
  <c r="G462" i="11"/>
  <c r="F462" i="11"/>
  <c r="B463" i="11"/>
  <c r="G463" i="11" s="1"/>
  <c r="C462" i="11" l="1"/>
  <c r="D462" i="11" s="1"/>
  <c r="E462" i="11" s="1"/>
  <c r="F463" i="11"/>
  <c r="B464" i="11"/>
  <c r="G464" i="11" s="1"/>
  <c r="F464" i="11" l="1"/>
  <c r="B465" i="11"/>
  <c r="C463" i="11"/>
  <c r="D463" i="11" s="1"/>
  <c r="E463" i="11" s="1"/>
  <c r="C464" i="11" l="1"/>
  <c r="D464" i="11" s="1"/>
  <c r="E464" i="11" s="1"/>
  <c r="G465" i="11"/>
  <c r="F465" i="11"/>
  <c r="B466" i="11"/>
  <c r="C465" i="11" l="1"/>
  <c r="D465" i="11" s="1"/>
  <c r="E465" i="11" s="1"/>
  <c r="G466" i="11"/>
  <c r="F466" i="11"/>
  <c r="B467" i="11"/>
  <c r="G467" i="11" s="1"/>
  <c r="F467" i="11" l="1"/>
  <c r="B468" i="11"/>
  <c r="G468" i="11" s="1"/>
  <c r="C466" i="11"/>
  <c r="D466" i="11" s="1"/>
  <c r="E466" i="11" s="1"/>
  <c r="F468" i="11" l="1"/>
  <c r="B469" i="11"/>
  <c r="C467" i="11"/>
  <c r="D467" i="11" s="1"/>
  <c r="E467" i="11" s="1"/>
  <c r="C468" i="11" l="1"/>
  <c r="D468" i="11" s="1"/>
  <c r="E468" i="11" s="1"/>
  <c r="G469" i="11"/>
  <c r="F469" i="11"/>
  <c r="B470" i="11"/>
  <c r="C469" i="11" l="1"/>
  <c r="D469" i="11" s="1"/>
  <c r="E469" i="11" s="1"/>
  <c r="G470" i="11"/>
  <c r="F470" i="11"/>
  <c r="B471" i="11"/>
  <c r="C470" i="11" l="1"/>
  <c r="D470" i="11" s="1"/>
  <c r="E470" i="11" s="1"/>
  <c r="G471" i="11"/>
  <c r="F471" i="11"/>
  <c r="B472" i="11"/>
  <c r="G472" i="11" s="1"/>
  <c r="F472" i="11" l="1"/>
  <c r="B473" i="11"/>
  <c r="G473" i="11" s="1"/>
  <c r="C471" i="11"/>
  <c r="D471" i="11" s="1"/>
  <c r="E471" i="11" s="1"/>
  <c r="F473" i="11" l="1"/>
  <c r="B474" i="11"/>
  <c r="G474" i="11" s="1"/>
  <c r="C472" i="11"/>
  <c r="D472" i="11" s="1"/>
  <c r="E472" i="11" s="1"/>
  <c r="F474" i="11" l="1"/>
  <c r="B475" i="11"/>
  <c r="C473" i="11"/>
  <c r="D473" i="11" s="1"/>
  <c r="E473" i="11" s="1"/>
  <c r="C474" i="11" l="1"/>
  <c r="D474" i="11" s="1"/>
  <c r="E474" i="11" s="1"/>
  <c r="G475" i="11"/>
  <c r="F475" i="11"/>
  <c r="B476" i="11"/>
  <c r="C475" i="11" l="1"/>
  <c r="D475" i="11" s="1"/>
  <c r="E475" i="11" s="1"/>
  <c r="G476" i="11"/>
  <c r="F476" i="11"/>
  <c r="B477" i="11"/>
  <c r="G477" i="11" s="1"/>
  <c r="F477" i="11" l="1"/>
  <c r="B478" i="11"/>
  <c r="G478" i="11" s="1"/>
  <c r="C476" i="11"/>
  <c r="D476" i="11" s="1"/>
  <c r="E476" i="11" s="1"/>
  <c r="F478" i="11" l="1"/>
  <c r="B479" i="11"/>
  <c r="G479" i="11" s="1"/>
  <c r="C477" i="11"/>
  <c r="D477" i="11" s="1"/>
  <c r="E477" i="11" s="1"/>
  <c r="C478" i="11" l="1"/>
  <c r="D478" i="11" s="1"/>
  <c r="E478" i="11" s="1"/>
  <c r="F479" i="11"/>
  <c r="B480" i="11"/>
  <c r="C479" i="11" l="1"/>
  <c r="D479" i="11" s="1"/>
  <c r="E479" i="11" s="1"/>
  <c r="G480" i="11"/>
  <c r="F480" i="11"/>
  <c r="B481" i="11"/>
  <c r="C480" i="11" l="1"/>
  <c r="D480" i="11" s="1"/>
  <c r="E480" i="11" s="1"/>
  <c r="G481" i="11"/>
  <c r="F481" i="11"/>
  <c r="B482" i="11"/>
  <c r="G482" i="11" s="1"/>
  <c r="F482" i="11" l="1"/>
  <c r="B483" i="11"/>
  <c r="C481" i="11"/>
  <c r="D481" i="11" s="1"/>
  <c r="E481" i="11" s="1"/>
  <c r="C482" i="11" l="1"/>
  <c r="D482" i="11" s="1"/>
  <c r="E482" i="11" s="1"/>
  <c r="G483" i="11"/>
  <c r="F483" i="11"/>
  <c r="B484" i="11"/>
  <c r="G484" i="11" s="1"/>
  <c r="C483" i="11"/>
  <c r="D483" i="11" s="1"/>
  <c r="E483" i="11" s="1"/>
  <c r="F484" i="11" l="1"/>
  <c r="B485" i="11"/>
  <c r="C484" i="11" l="1"/>
  <c r="D484" i="11" s="1"/>
  <c r="E484" i="11" s="1"/>
  <c r="G485" i="11"/>
  <c r="F485" i="11"/>
  <c r="B486" i="11"/>
  <c r="C485" i="11" l="1"/>
  <c r="D485" i="11" s="1"/>
  <c r="E485" i="11" s="1"/>
  <c r="G486" i="11"/>
  <c r="F486" i="11"/>
  <c r="B487" i="11"/>
  <c r="C486" i="11" l="1"/>
  <c r="D486" i="11" s="1"/>
  <c r="E486" i="11" s="1"/>
  <c r="G487" i="11"/>
  <c r="F487" i="11"/>
  <c r="B488" i="11"/>
  <c r="G488" i="11" s="1"/>
  <c r="C487" i="11" l="1"/>
  <c r="D487" i="11" s="1"/>
  <c r="E487" i="11" s="1"/>
  <c r="F488" i="11"/>
  <c r="B489" i="11"/>
  <c r="G489" i="11" s="1"/>
  <c r="C488" i="11" l="1"/>
  <c r="D488" i="11" s="1"/>
  <c r="E488" i="11" s="1"/>
  <c r="F489" i="11"/>
  <c r="B490" i="11"/>
  <c r="G490" i="11" s="1"/>
  <c r="F490" i="11" l="1"/>
  <c r="B491" i="11"/>
  <c r="C489" i="11"/>
  <c r="D489" i="11" s="1"/>
  <c r="E489" i="11" s="1"/>
  <c r="C490" i="11" l="1"/>
  <c r="D490" i="11" s="1"/>
  <c r="E490" i="11" s="1"/>
  <c r="G491" i="11"/>
  <c r="F491" i="11"/>
  <c r="B492" i="11"/>
  <c r="G492" i="11" s="1"/>
  <c r="C491" i="11" l="1"/>
  <c r="D491" i="11" s="1"/>
  <c r="E491" i="11" s="1"/>
  <c r="F492" i="11"/>
  <c r="B493" i="11"/>
  <c r="G493" i="11" s="1"/>
  <c r="F493" i="11" l="1"/>
  <c r="B494" i="11"/>
  <c r="G494" i="11" s="1"/>
  <c r="C493" i="11"/>
  <c r="D493" i="11" s="1"/>
  <c r="C492" i="11"/>
  <c r="D492" i="11" s="1"/>
  <c r="E492" i="11" s="1"/>
  <c r="E493" i="11" l="1"/>
  <c r="F494" i="11"/>
  <c r="B495" i="11"/>
  <c r="G495" i="11" s="1"/>
  <c r="C494" i="11"/>
  <c r="D494" i="11" s="1"/>
  <c r="E494" i="11" s="1"/>
  <c r="F495" i="11" l="1"/>
  <c r="B496" i="11"/>
  <c r="G496" i="11" s="1"/>
  <c r="C495" i="11" l="1"/>
  <c r="D495" i="11" s="1"/>
  <c r="E495" i="11" s="1"/>
  <c r="F496" i="11"/>
  <c r="B497" i="11"/>
  <c r="G497" i="11" s="1"/>
  <c r="F497" i="11" l="1"/>
  <c r="B498" i="11"/>
  <c r="G498" i="11" s="1"/>
  <c r="C496" i="11"/>
  <c r="D496" i="11" s="1"/>
  <c r="E496" i="11" s="1"/>
  <c r="F498" i="11" l="1"/>
  <c r="B499" i="11"/>
  <c r="C497" i="11"/>
  <c r="D497" i="11" s="1"/>
  <c r="E497" i="11" s="1"/>
  <c r="C498" i="11" l="1"/>
  <c r="D498" i="11" s="1"/>
  <c r="E498" i="11" s="1"/>
  <c r="G499" i="11"/>
  <c r="F499" i="11"/>
  <c r="B500" i="11"/>
  <c r="C499" i="11" l="1"/>
  <c r="D499" i="11" s="1"/>
  <c r="E499" i="11" s="1"/>
  <c r="G500" i="11"/>
  <c r="F500" i="11"/>
  <c r="B501" i="11"/>
  <c r="G501" i="11" s="1"/>
  <c r="C500" i="11" l="1"/>
  <c r="D500" i="11" s="1"/>
  <c r="E500" i="11" s="1"/>
  <c r="F501" i="11"/>
  <c r="B502" i="11"/>
  <c r="G502" i="11" s="1"/>
  <c r="C501" i="11" l="1"/>
  <c r="D501" i="11" s="1"/>
  <c r="E501" i="11" s="1"/>
  <c r="B503" i="11"/>
  <c r="G503" i="11" s="1"/>
  <c r="F502" i="11"/>
  <c r="F503" i="11" l="1"/>
  <c r="B504" i="11"/>
  <c r="G504" i="11" s="1"/>
  <c r="C502" i="11"/>
  <c r="D502" i="11" s="1"/>
  <c r="E502" i="11" s="1"/>
  <c r="F504" i="11" l="1"/>
  <c r="B505" i="11"/>
  <c r="G505" i="11" s="1"/>
  <c r="C503" i="11"/>
  <c r="D503" i="11" s="1"/>
  <c r="E503" i="11" s="1"/>
  <c r="F505" i="11" l="1"/>
  <c r="B506" i="11"/>
  <c r="C504" i="11"/>
  <c r="D504" i="11" s="1"/>
  <c r="E504" i="11" s="1"/>
  <c r="C505" i="11" l="1"/>
  <c r="D505" i="11" s="1"/>
  <c r="E505" i="11" s="1"/>
  <c r="G506" i="11"/>
  <c r="F506" i="11"/>
  <c r="B507" i="11"/>
  <c r="G507" i="11" s="1"/>
  <c r="F507" i="11" l="1"/>
  <c r="B508" i="11"/>
  <c r="G508" i="11" s="1"/>
  <c r="C506" i="11"/>
  <c r="D506" i="11" s="1"/>
  <c r="E506" i="11" s="1"/>
  <c r="F508" i="11" l="1"/>
  <c r="B509" i="11"/>
  <c r="C507" i="11"/>
  <c r="D507" i="11" s="1"/>
  <c r="E507" i="11" s="1"/>
  <c r="C508" i="11" l="1"/>
  <c r="D508" i="11" s="1"/>
  <c r="E508" i="11" s="1"/>
  <c r="G509" i="11"/>
  <c r="F509" i="11"/>
  <c r="B510" i="11"/>
  <c r="C509" i="11" l="1"/>
  <c r="D509" i="11" s="1"/>
  <c r="E509" i="11" s="1"/>
  <c r="G510" i="11"/>
  <c r="F510" i="11"/>
  <c r="B511" i="11"/>
  <c r="G511" i="11" s="1"/>
  <c r="C510" i="11" l="1"/>
  <c r="D510" i="11" s="1"/>
  <c r="E510" i="11" s="1"/>
  <c r="F511" i="11"/>
  <c r="B512" i="11"/>
  <c r="G512" i="11" s="1"/>
  <c r="C511" i="11"/>
  <c r="D511" i="11" s="1"/>
  <c r="E511" i="11" s="1"/>
  <c r="F512" i="11" l="1"/>
  <c r="B513" i="11"/>
  <c r="G513" i="11" s="1"/>
  <c r="C512" i="11"/>
  <c r="D512" i="11" s="1"/>
  <c r="E512" i="11" s="1"/>
  <c r="F513" i="11" l="1"/>
  <c r="B514" i="11"/>
  <c r="G514" i="11" s="1"/>
  <c r="C513" i="11" l="1"/>
  <c r="D513" i="11" s="1"/>
  <c r="E513" i="11" s="1"/>
  <c r="F514" i="11"/>
  <c r="B515" i="11"/>
  <c r="G515" i="11" s="1"/>
  <c r="F515" i="11" l="1"/>
  <c r="B516" i="11"/>
  <c r="G516" i="11" s="1"/>
  <c r="C515" i="11"/>
  <c r="D515" i="11" s="1"/>
  <c r="C514" i="11"/>
  <c r="D514" i="11" s="1"/>
  <c r="E514" i="11" s="1"/>
  <c r="E515" i="11" l="1"/>
  <c r="F516" i="11"/>
  <c r="B517" i="11"/>
  <c r="C516" i="11" l="1"/>
  <c r="D516" i="11" s="1"/>
  <c r="E516" i="11" s="1"/>
  <c r="G517" i="11"/>
  <c r="F517" i="11"/>
  <c r="B518" i="11"/>
  <c r="G518" i="11" s="1"/>
  <c r="F518" i="11" l="1"/>
  <c r="B519" i="11"/>
  <c r="C517" i="11"/>
  <c r="D517" i="11" s="1"/>
  <c r="E517" i="11" s="1"/>
  <c r="C518" i="11" l="1"/>
  <c r="D518" i="11" s="1"/>
  <c r="E518" i="11" s="1"/>
  <c r="G519" i="11"/>
  <c r="F519" i="11"/>
  <c r="B520" i="11"/>
  <c r="C519" i="11" l="1"/>
  <c r="D519" i="11" s="1"/>
  <c r="E519" i="11" s="1"/>
  <c r="G520" i="11"/>
  <c r="F520" i="11"/>
  <c r="B521" i="11"/>
  <c r="G521" i="11" s="1"/>
  <c r="F521" i="11" l="1"/>
  <c r="B522" i="11"/>
  <c r="C520" i="11"/>
  <c r="D520" i="11" s="1"/>
  <c r="E520" i="11" s="1"/>
  <c r="C521" i="11" l="1"/>
  <c r="D521" i="11" s="1"/>
  <c r="E521" i="11" s="1"/>
  <c r="G522" i="11"/>
  <c r="F522" i="11"/>
  <c r="B523" i="11"/>
  <c r="C522" i="11" l="1"/>
  <c r="D522" i="11" s="1"/>
  <c r="E522" i="11" s="1"/>
  <c r="G523" i="11"/>
  <c r="F523" i="11"/>
  <c r="B524" i="11"/>
  <c r="G524" i="11" s="1"/>
  <c r="F524" i="11" l="1"/>
  <c r="B525" i="11"/>
  <c r="C523" i="11"/>
  <c r="D523" i="11" s="1"/>
  <c r="E523" i="11" s="1"/>
  <c r="C524" i="11" l="1"/>
  <c r="D524" i="11" s="1"/>
  <c r="E524" i="11" s="1"/>
  <c r="G525" i="11"/>
  <c r="F525" i="11"/>
  <c r="B526" i="11"/>
  <c r="C525" i="11" l="1"/>
  <c r="D525" i="11" s="1"/>
  <c r="E525" i="11" s="1"/>
  <c r="G526" i="11"/>
  <c r="F526" i="11"/>
  <c r="B527" i="11"/>
  <c r="G527" i="11" s="1"/>
  <c r="F527" i="11" l="1"/>
  <c r="B528" i="11"/>
  <c r="C526" i="11"/>
  <c r="D526" i="11" s="1"/>
  <c r="E526" i="11" s="1"/>
  <c r="C527" i="11" l="1"/>
  <c r="D527" i="11" s="1"/>
  <c r="E527" i="11" s="1"/>
  <c r="G528" i="11"/>
  <c r="F528" i="11"/>
  <c r="B529" i="11"/>
  <c r="G529" i="11" s="1"/>
  <c r="C528" i="11"/>
  <c r="D528" i="11" s="1"/>
  <c r="E528" i="11" s="1"/>
  <c r="F529" i="11" l="1"/>
  <c r="B530" i="11"/>
  <c r="G530" i="11" s="1"/>
  <c r="F530" i="11" l="1"/>
  <c r="B531" i="11"/>
  <c r="G531" i="11" s="1"/>
  <c r="C529" i="11"/>
  <c r="D529" i="11" s="1"/>
  <c r="E529" i="11" s="1"/>
  <c r="C530" i="11" l="1"/>
  <c r="D530" i="11" s="1"/>
  <c r="E530" i="11" s="1"/>
  <c r="F531" i="11"/>
  <c r="B532" i="11"/>
  <c r="C531" i="11" l="1"/>
  <c r="D531" i="11" s="1"/>
  <c r="E531" i="11" s="1"/>
  <c r="G532" i="11"/>
  <c r="F532" i="11"/>
  <c r="B533" i="11"/>
  <c r="C532" i="11" l="1"/>
  <c r="D532" i="11" s="1"/>
  <c r="E532" i="11" s="1"/>
  <c r="G533" i="11"/>
  <c r="F533" i="11"/>
  <c r="B534" i="11"/>
  <c r="G534" i="11" s="1"/>
  <c r="C533" i="11"/>
  <c r="D533" i="11" s="1"/>
  <c r="E533" i="11" s="1"/>
  <c r="F534" i="11" l="1"/>
  <c r="B535" i="11"/>
  <c r="G535" i="11" s="1"/>
  <c r="F535" i="11" l="1"/>
  <c r="B536" i="11"/>
  <c r="C534" i="11"/>
  <c r="D534" i="11" s="1"/>
  <c r="E534" i="11" s="1"/>
  <c r="C535" i="11" l="1"/>
  <c r="D535" i="11" s="1"/>
  <c r="E535" i="11" s="1"/>
  <c r="G536" i="11"/>
  <c r="F536" i="11"/>
  <c r="B537" i="11"/>
  <c r="C536" i="11" l="1"/>
  <c r="D536" i="11" s="1"/>
  <c r="E536" i="11" s="1"/>
  <c r="G537" i="11"/>
  <c r="F537" i="11"/>
  <c r="B538" i="11"/>
  <c r="G538" i="11" s="1"/>
  <c r="F538" i="11" l="1"/>
  <c r="B539" i="11"/>
  <c r="G539" i="11" s="1"/>
  <c r="C537" i="11"/>
  <c r="D537" i="11" s="1"/>
  <c r="E537" i="11" s="1"/>
  <c r="F539" i="11" l="1"/>
  <c r="B540" i="11"/>
  <c r="G540" i="11" s="1"/>
  <c r="C538" i="11"/>
  <c r="D538" i="11" s="1"/>
  <c r="E538" i="11" s="1"/>
  <c r="F540" i="11" l="1"/>
  <c r="B541" i="11"/>
  <c r="C539" i="11"/>
  <c r="D539" i="11" s="1"/>
  <c r="E539" i="11" s="1"/>
  <c r="C540" i="11" l="1"/>
  <c r="D540" i="11" s="1"/>
  <c r="E540" i="11" s="1"/>
  <c r="G541" i="11"/>
  <c r="F541" i="11"/>
  <c r="B542" i="11"/>
  <c r="C541" i="11" l="1"/>
  <c r="D541" i="11" s="1"/>
  <c r="E541" i="11" s="1"/>
  <c r="G542" i="11"/>
  <c r="F542" i="11"/>
  <c r="B543" i="11"/>
  <c r="C542" i="11" l="1"/>
  <c r="D542" i="11" s="1"/>
  <c r="E542" i="11" s="1"/>
  <c r="G543" i="11"/>
  <c r="F543" i="11"/>
  <c r="B544" i="11"/>
  <c r="G544" i="11" s="1"/>
  <c r="C543" i="11"/>
  <c r="D543" i="11" s="1"/>
  <c r="E543" i="11" s="1"/>
  <c r="F544" i="11" l="1"/>
  <c r="B545" i="11"/>
  <c r="G545" i="11" s="1"/>
  <c r="F545" i="11" l="1"/>
  <c r="B546" i="11"/>
  <c r="G546" i="11" s="1"/>
  <c r="C544" i="11"/>
  <c r="D544" i="11" s="1"/>
  <c r="E544" i="11" s="1"/>
  <c r="F546" i="11" l="1"/>
  <c r="B547" i="11"/>
  <c r="G547" i="11" s="1"/>
  <c r="C545" i="11"/>
  <c r="D545" i="11" s="1"/>
  <c r="E545" i="11" s="1"/>
  <c r="F547" i="11" l="1"/>
  <c r="B548" i="11"/>
  <c r="C546" i="11"/>
  <c r="D546" i="11" s="1"/>
  <c r="E546" i="11" s="1"/>
  <c r="C547" i="11" l="1"/>
  <c r="D547" i="11" s="1"/>
  <c r="E547" i="11" s="1"/>
  <c r="G548" i="11"/>
  <c r="F548" i="11"/>
  <c r="B549" i="11"/>
  <c r="G549" i="11" s="1"/>
  <c r="F549" i="11" l="1"/>
  <c r="B550" i="11"/>
  <c r="C548" i="11"/>
  <c r="D548" i="11" s="1"/>
  <c r="E548" i="11" s="1"/>
  <c r="C549" i="11" l="1"/>
  <c r="D549" i="11" s="1"/>
  <c r="E549" i="11" s="1"/>
  <c r="G550" i="11"/>
  <c r="F550" i="11"/>
  <c r="B551" i="11"/>
  <c r="G551" i="11" s="1"/>
  <c r="C550" i="11"/>
  <c r="D550" i="11" s="1"/>
  <c r="E550" i="11" s="1"/>
  <c r="F551" i="11" l="1"/>
  <c r="B552" i="11"/>
  <c r="C551" i="11" l="1"/>
  <c r="D551" i="11" s="1"/>
  <c r="E551" i="11" s="1"/>
  <c r="G552" i="11"/>
  <c r="F552" i="11"/>
  <c r="B553" i="11"/>
  <c r="C552" i="11" l="1"/>
  <c r="D552" i="11" s="1"/>
  <c r="E552" i="11" s="1"/>
  <c r="G553" i="11"/>
  <c r="F553" i="11"/>
  <c r="B554" i="11"/>
  <c r="G554" i="11" s="1"/>
  <c r="F554" i="11" l="1"/>
  <c r="B555" i="11"/>
  <c r="G555" i="11" s="1"/>
  <c r="C554" i="11"/>
  <c r="D554" i="11" s="1"/>
  <c r="C553" i="11"/>
  <c r="D553" i="11" s="1"/>
  <c r="E553" i="11" s="1"/>
  <c r="E554" i="11" l="1"/>
  <c r="F555" i="11"/>
  <c r="B556" i="11"/>
  <c r="G556" i="11" s="1"/>
  <c r="F556" i="11" l="1"/>
  <c r="B557" i="11"/>
  <c r="G557" i="11" s="1"/>
  <c r="C555" i="11"/>
  <c r="D555" i="11" s="1"/>
  <c r="E555" i="11" s="1"/>
  <c r="C556" i="11" l="1"/>
  <c r="D556" i="11" s="1"/>
  <c r="E556" i="11" s="1"/>
  <c r="F557" i="11"/>
  <c r="B558" i="11"/>
  <c r="G558" i="11" s="1"/>
  <c r="C557" i="11"/>
  <c r="D557" i="11" s="1"/>
  <c r="E557" i="11" s="1"/>
  <c r="F558" i="11" l="1"/>
  <c r="B559" i="11"/>
  <c r="C558" i="11" l="1"/>
  <c r="D558" i="11" s="1"/>
  <c r="E558" i="11" s="1"/>
  <c r="G559" i="11"/>
  <c r="F559" i="11"/>
  <c r="B560" i="11"/>
  <c r="G560" i="11" s="1"/>
  <c r="F560" i="11" l="1"/>
  <c r="B561" i="11"/>
  <c r="G561" i="11" s="1"/>
  <c r="C559" i="11"/>
  <c r="D559" i="11" s="1"/>
  <c r="E559" i="11" s="1"/>
  <c r="F561" i="11" l="1"/>
  <c r="B562" i="11"/>
  <c r="C560" i="11"/>
  <c r="D560" i="11" s="1"/>
  <c r="E560" i="11" s="1"/>
  <c r="C561" i="11" l="1"/>
  <c r="D561" i="11" s="1"/>
  <c r="E561" i="11" s="1"/>
  <c r="G562" i="11"/>
  <c r="F562" i="11"/>
  <c r="B563" i="11"/>
  <c r="C562" i="11" l="1"/>
  <c r="D562" i="11" s="1"/>
  <c r="E562" i="11" s="1"/>
  <c r="G563" i="11"/>
  <c r="F563" i="11"/>
  <c r="B564" i="11"/>
  <c r="C563" i="11" l="1"/>
  <c r="D563" i="11" s="1"/>
  <c r="E563" i="11" s="1"/>
  <c r="G564" i="11"/>
  <c r="F564" i="11"/>
  <c r="B565" i="11"/>
  <c r="G565" i="11" s="1"/>
  <c r="C564" i="11"/>
  <c r="D564" i="11" s="1"/>
  <c r="E564" i="11" s="1"/>
  <c r="F565" i="11" l="1"/>
  <c r="B566" i="11"/>
  <c r="G566" i="11" s="1"/>
  <c r="C565" i="11"/>
  <c r="D565" i="11" s="1"/>
  <c r="E565" i="11" s="1"/>
  <c r="F566" i="11" l="1"/>
  <c r="B567" i="11"/>
  <c r="G567" i="11" s="1"/>
  <c r="F567" i="11" l="1"/>
  <c r="B568" i="11"/>
  <c r="G568" i="11" s="1"/>
  <c r="C566" i="11"/>
  <c r="D566" i="11" s="1"/>
  <c r="E566" i="11" s="1"/>
  <c r="F568" i="11" l="1"/>
  <c r="B569" i="11"/>
  <c r="G569" i="11" s="1"/>
  <c r="C567" i="11"/>
  <c r="D567" i="11" s="1"/>
  <c r="E567" i="11" s="1"/>
  <c r="F569" i="11" l="1"/>
  <c r="B570" i="11"/>
  <c r="C568" i="11"/>
  <c r="D568" i="11" s="1"/>
  <c r="E568" i="11" s="1"/>
  <c r="C569" i="11" l="1"/>
  <c r="D569" i="11" s="1"/>
  <c r="E569" i="11" s="1"/>
  <c r="G570" i="11"/>
  <c r="F570" i="11"/>
  <c r="B571" i="11"/>
  <c r="G571" i="11" s="1"/>
  <c r="F571" i="11" l="1"/>
  <c r="B572" i="11"/>
  <c r="C570" i="11"/>
  <c r="D570" i="11" s="1"/>
  <c r="E570" i="11" s="1"/>
  <c r="C571" i="11" l="1"/>
  <c r="D571" i="11" s="1"/>
  <c r="E571" i="11" s="1"/>
  <c r="G572" i="11"/>
  <c r="F572" i="11"/>
  <c r="B573" i="11"/>
  <c r="G573" i="11" s="1"/>
  <c r="C572" i="11"/>
  <c r="D572" i="11" s="1"/>
  <c r="E572" i="11" s="1"/>
  <c r="F573" i="11" l="1"/>
  <c r="B574" i="11"/>
  <c r="G574" i="11" s="1"/>
  <c r="F574" i="11" l="1"/>
  <c r="B575" i="11"/>
  <c r="C573" i="11"/>
  <c r="D573" i="11" s="1"/>
  <c r="E573" i="11" s="1"/>
  <c r="C574" i="11" l="1"/>
  <c r="D574" i="11" s="1"/>
  <c r="E574" i="11" s="1"/>
  <c r="G575" i="11"/>
  <c r="F575" i="11"/>
  <c r="B576" i="11"/>
  <c r="G576" i="11" s="1"/>
  <c r="F576" i="11" l="1"/>
  <c r="B577" i="11"/>
  <c r="C575" i="11"/>
  <c r="D575" i="11" s="1"/>
  <c r="E575" i="11" s="1"/>
  <c r="C576" i="11" l="1"/>
  <c r="D576" i="11" s="1"/>
  <c r="E576" i="11" s="1"/>
  <c r="G577" i="11"/>
  <c r="F577" i="11"/>
  <c r="B578" i="11"/>
  <c r="C577" i="11" l="1"/>
  <c r="D577" i="11" s="1"/>
  <c r="E577" i="11" s="1"/>
  <c r="G578" i="11"/>
  <c r="F578" i="11"/>
  <c r="B579" i="11"/>
  <c r="C578" i="11" l="1"/>
  <c r="D578" i="11" s="1"/>
  <c r="E578" i="11" s="1"/>
  <c r="G579" i="11"/>
  <c r="F579" i="11"/>
  <c r="B580" i="11"/>
  <c r="C579" i="11" l="1"/>
  <c r="D579" i="11" s="1"/>
  <c r="E579" i="11" s="1"/>
  <c r="G580" i="11"/>
  <c r="F580" i="11"/>
  <c r="B581" i="11"/>
  <c r="G581" i="11" s="1"/>
  <c r="C580" i="11"/>
  <c r="D580" i="11" s="1"/>
  <c r="E580" i="11" s="1"/>
  <c r="F581" i="11" l="1"/>
  <c r="B582" i="11"/>
  <c r="G582" i="11" s="1"/>
  <c r="F582" i="11" l="1"/>
  <c r="B583" i="11"/>
  <c r="G583" i="11" s="1"/>
  <c r="C581" i="11"/>
  <c r="D581" i="11" s="1"/>
  <c r="E581" i="11" s="1"/>
  <c r="F583" i="11" l="1"/>
  <c r="B584" i="11"/>
  <c r="G584" i="11" s="1"/>
  <c r="C582" i="11"/>
  <c r="D582" i="11" s="1"/>
  <c r="E582" i="11" s="1"/>
  <c r="F584" i="11" l="1"/>
  <c r="B585" i="11"/>
  <c r="C583" i="11"/>
  <c r="D583" i="11" s="1"/>
  <c r="E583" i="11" s="1"/>
  <c r="C584" i="11" l="1"/>
  <c r="D584" i="11" s="1"/>
  <c r="E584" i="11" s="1"/>
  <c r="G585" i="11"/>
  <c r="F585" i="11"/>
  <c r="B586" i="11"/>
  <c r="G586" i="11" s="1"/>
  <c r="C585" i="11"/>
  <c r="D585" i="11" s="1"/>
  <c r="E585" i="11" s="1"/>
  <c r="F586" i="11" l="1"/>
  <c r="B587" i="11"/>
  <c r="G587" i="11" s="1"/>
  <c r="F587" i="11" l="1"/>
  <c r="B588" i="11"/>
  <c r="G588" i="11" s="1"/>
  <c r="C587" i="11"/>
  <c r="D587" i="11" s="1"/>
  <c r="E587" i="11" s="1"/>
  <c r="C586" i="11"/>
  <c r="D586" i="11" s="1"/>
  <c r="E586" i="11" s="1"/>
  <c r="F588" i="11" l="1"/>
  <c r="B589" i="11"/>
  <c r="G589" i="11" s="1"/>
  <c r="C588" i="11"/>
  <c r="D588" i="11" s="1"/>
  <c r="E588" i="11" s="1"/>
  <c r="F589" i="11" l="1"/>
  <c r="B590" i="11"/>
  <c r="G590" i="11" s="1"/>
  <c r="C589" i="11"/>
  <c r="D589" i="11" s="1"/>
  <c r="E589" i="11" s="1"/>
  <c r="F590" i="11" l="1"/>
  <c r="B591" i="11"/>
  <c r="G591" i="11" s="1"/>
  <c r="C590" i="11" l="1"/>
  <c r="D590" i="11" s="1"/>
  <c r="E590" i="11" s="1"/>
  <c r="F591" i="11"/>
  <c r="B592" i="11"/>
  <c r="G592" i="11" s="1"/>
  <c r="F592" i="11" l="1"/>
  <c r="B593" i="11"/>
  <c r="G593" i="11" s="1"/>
  <c r="C592" i="11"/>
  <c r="D592" i="11" s="1"/>
  <c r="E592" i="11" s="1"/>
  <c r="C591" i="11"/>
  <c r="D591" i="11" s="1"/>
  <c r="E591" i="11" s="1"/>
  <c r="F593" i="11" l="1"/>
  <c r="B594" i="11"/>
  <c r="G594" i="11" s="1"/>
  <c r="F594" i="11" l="1"/>
  <c r="B595" i="11"/>
  <c r="G595" i="11" s="1"/>
  <c r="C593" i="11"/>
  <c r="D593" i="11" s="1"/>
  <c r="E593" i="11" s="1"/>
  <c r="C594" i="11" l="1"/>
  <c r="D594" i="11" s="1"/>
  <c r="E594" i="11" s="1"/>
  <c r="F595" i="11"/>
  <c r="B596" i="11"/>
  <c r="G596" i="11" s="1"/>
  <c r="F596" i="11" l="1"/>
  <c r="B597" i="11"/>
  <c r="G597" i="11" s="1"/>
  <c r="C595" i="11"/>
  <c r="D595" i="11" s="1"/>
  <c r="E595" i="11" s="1"/>
  <c r="C596" i="11" l="1"/>
  <c r="D596" i="11" s="1"/>
  <c r="E596" i="11" s="1"/>
  <c r="F597" i="11"/>
  <c r="B598" i="11"/>
  <c r="G598" i="11" s="1"/>
  <c r="C597" i="11" l="1"/>
  <c r="D597" i="11" s="1"/>
  <c r="E597" i="11" s="1"/>
  <c r="F598" i="11"/>
  <c r="B599" i="11"/>
  <c r="G599" i="11" s="1"/>
  <c r="F599" i="11" l="1"/>
  <c r="B600" i="11"/>
  <c r="G600" i="11" s="1"/>
  <c r="C599" i="11"/>
  <c r="D599" i="11" s="1"/>
  <c r="E599" i="11" s="1"/>
  <c r="C598" i="11"/>
  <c r="D598" i="11" s="1"/>
  <c r="E598" i="11" s="1"/>
  <c r="F600" i="11" l="1"/>
  <c r="B601" i="11"/>
  <c r="G601" i="11" s="1"/>
  <c r="F601" i="11" l="1"/>
  <c r="B602" i="11"/>
  <c r="C600" i="11"/>
  <c r="D600" i="11" s="1"/>
  <c r="E600" i="11" s="1"/>
  <c r="C601" i="11" l="1"/>
  <c r="D601" i="11" s="1"/>
  <c r="E601" i="11" s="1"/>
  <c r="G602" i="11"/>
  <c r="F602" i="11"/>
  <c r="B603" i="11"/>
  <c r="C602" i="11" l="1"/>
  <c r="D602" i="11" s="1"/>
  <c r="E602" i="11" s="1"/>
  <c r="G603" i="11"/>
  <c r="F603" i="11"/>
  <c r="B604" i="11"/>
  <c r="C603" i="11" l="1"/>
  <c r="D603" i="11" s="1"/>
  <c r="E603" i="11" s="1"/>
  <c r="G604" i="11"/>
  <c r="F604" i="11"/>
  <c r="B605" i="11"/>
  <c r="C604" i="11" l="1"/>
  <c r="D604" i="11" s="1"/>
  <c r="E604" i="11" s="1"/>
  <c r="G605" i="11"/>
  <c r="F605" i="11"/>
  <c r="B606" i="11"/>
  <c r="G606" i="11" s="1"/>
  <c r="F606" i="11" l="1"/>
  <c r="B607" i="11"/>
  <c r="C605" i="11"/>
  <c r="D605" i="11" s="1"/>
  <c r="E605" i="11" s="1"/>
  <c r="C606" i="11" l="1"/>
  <c r="D606" i="11" s="1"/>
  <c r="E606" i="11" s="1"/>
  <c r="G607" i="11"/>
  <c r="F607" i="11"/>
  <c r="B608" i="11"/>
  <c r="C607" i="11" l="1"/>
  <c r="D607" i="11" s="1"/>
  <c r="E607" i="11" s="1"/>
  <c r="G608" i="11"/>
  <c r="F608" i="11"/>
  <c r="B609" i="11"/>
  <c r="G609" i="11" s="1"/>
  <c r="C608" i="11"/>
  <c r="D608" i="11" s="1"/>
  <c r="E608" i="11" s="1"/>
  <c r="F609" i="11" l="1"/>
  <c r="B610" i="11"/>
  <c r="G610" i="11" s="1"/>
  <c r="F610" i="11" l="1"/>
  <c r="B611" i="11"/>
  <c r="G611" i="11" s="1"/>
  <c r="C609" i="11"/>
  <c r="D609" i="11" s="1"/>
  <c r="E609" i="11" s="1"/>
  <c r="F611" i="11" l="1"/>
  <c r="B612" i="11"/>
  <c r="G612" i="11" s="1"/>
  <c r="C610" i="11"/>
  <c r="D610" i="11" s="1"/>
  <c r="E610" i="11" s="1"/>
  <c r="F612" i="11" l="1"/>
  <c r="B613" i="11"/>
  <c r="G613" i="11" s="1"/>
  <c r="C611" i="11"/>
  <c r="D611" i="11" s="1"/>
  <c r="E611" i="11" s="1"/>
  <c r="C612" i="11" l="1"/>
  <c r="D612" i="11" s="1"/>
  <c r="E612" i="11" s="1"/>
  <c r="F613" i="11"/>
  <c r="B614" i="11"/>
  <c r="G614" i="11" s="1"/>
  <c r="F614" i="11" l="1"/>
  <c r="B615" i="11"/>
  <c r="C613" i="11"/>
  <c r="D613" i="11" s="1"/>
  <c r="E613" i="11" s="1"/>
  <c r="C614" i="11" l="1"/>
  <c r="D614" i="11" s="1"/>
  <c r="E614" i="11" s="1"/>
  <c r="G615" i="11"/>
  <c r="F615" i="11"/>
  <c r="B616" i="11"/>
  <c r="G616" i="11" s="1"/>
  <c r="F616" i="11" l="1"/>
  <c r="B617" i="11"/>
  <c r="G617" i="11" s="1"/>
  <c r="C615" i="11"/>
  <c r="D615" i="11" s="1"/>
  <c r="E615" i="11" s="1"/>
  <c r="C616" i="11" l="1"/>
  <c r="D616" i="11" s="1"/>
  <c r="E616" i="11" s="1"/>
  <c r="F617" i="11"/>
  <c r="B618" i="11"/>
  <c r="G618" i="11" s="1"/>
  <c r="F618" i="11" l="1"/>
  <c r="B619" i="11"/>
  <c r="G619" i="11" s="1"/>
  <c r="C617" i="11"/>
  <c r="D617" i="11" s="1"/>
  <c r="E617" i="11" s="1"/>
  <c r="F619" i="11" l="1"/>
  <c r="B620" i="11"/>
  <c r="G620" i="11" s="1"/>
  <c r="C618" i="11"/>
  <c r="D618" i="11" s="1"/>
  <c r="E618" i="11" s="1"/>
  <c r="F620" i="11" l="1"/>
  <c r="B621" i="11"/>
  <c r="G621" i="11" s="1"/>
  <c r="C619" i="11"/>
  <c r="D619" i="11" s="1"/>
  <c r="E619" i="11" s="1"/>
  <c r="F621" i="11" l="1"/>
  <c r="B622" i="11"/>
  <c r="G622" i="11" s="1"/>
  <c r="C620" i="11"/>
  <c r="D620" i="11" s="1"/>
  <c r="E620" i="11" s="1"/>
  <c r="F622" i="11" l="1"/>
  <c r="B623" i="11"/>
  <c r="C621" i="11"/>
  <c r="D621" i="11" s="1"/>
  <c r="E621" i="11" s="1"/>
  <c r="C622" i="11" l="1"/>
  <c r="D622" i="11" s="1"/>
  <c r="E622" i="11" s="1"/>
  <c r="G623" i="11"/>
  <c r="F623" i="11"/>
  <c r="B624" i="11"/>
  <c r="G624" i="11" s="1"/>
  <c r="F624" i="11" l="1"/>
  <c r="B625" i="11"/>
  <c r="C623" i="11"/>
  <c r="D623" i="11" s="1"/>
  <c r="E623" i="11" s="1"/>
  <c r="C624" i="11" l="1"/>
  <c r="D624" i="11" s="1"/>
  <c r="E624" i="11" s="1"/>
  <c r="G625" i="11"/>
  <c r="F625" i="11"/>
  <c r="B626" i="11"/>
  <c r="G626" i="11" s="1"/>
  <c r="F626" i="11" l="1"/>
  <c r="B627" i="11"/>
  <c r="G627" i="11" s="1"/>
  <c r="C625" i="11"/>
  <c r="D625" i="11" s="1"/>
  <c r="E625" i="11" s="1"/>
  <c r="F627" i="11" l="1"/>
  <c r="B628" i="11"/>
  <c r="G628" i="11" s="1"/>
  <c r="C626" i="11"/>
  <c r="D626" i="11" s="1"/>
  <c r="E626" i="11" s="1"/>
  <c r="F628" i="11" l="1"/>
  <c r="B629" i="11"/>
  <c r="G629" i="11" s="1"/>
  <c r="C627" i="11"/>
  <c r="D627" i="11" s="1"/>
  <c r="E627" i="11" s="1"/>
  <c r="F629" i="11" l="1"/>
  <c r="B630" i="11"/>
  <c r="G630" i="11" s="1"/>
  <c r="C628" i="11"/>
  <c r="D628" i="11" s="1"/>
  <c r="E628" i="11" s="1"/>
  <c r="C629" i="11" l="1"/>
  <c r="D629" i="11" s="1"/>
  <c r="E629" i="11" s="1"/>
  <c r="F630" i="11"/>
  <c r="B631" i="11"/>
  <c r="G631" i="11" s="1"/>
  <c r="F631" i="11" l="1"/>
  <c r="B632" i="11"/>
  <c r="C630" i="11"/>
  <c r="D630" i="11" s="1"/>
  <c r="E630" i="11" s="1"/>
  <c r="C631" i="11" l="1"/>
  <c r="D631" i="11" s="1"/>
  <c r="E631" i="11" s="1"/>
  <c r="G632" i="11"/>
  <c r="F632" i="11"/>
  <c r="B633" i="11"/>
  <c r="G633" i="11" s="1"/>
  <c r="C632" i="11"/>
  <c r="D632" i="11" s="1"/>
  <c r="E632" i="11" s="1"/>
  <c r="F633" i="11" l="1"/>
  <c r="B634" i="11"/>
  <c r="G634" i="11" s="1"/>
  <c r="C633" i="11" l="1"/>
  <c r="D633" i="11" s="1"/>
  <c r="E633" i="11" s="1"/>
  <c r="F634" i="11"/>
  <c r="B635" i="11"/>
  <c r="G635" i="11" s="1"/>
  <c r="F635" i="11" l="1"/>
  <c r="B636" i="11"/>
  <c r="G636" i="11" s="1"/>
  <c r="C634" i="11"/>
  <c r="D634" i="11" s="1"/>
  <c r="E634" i="11" s="1"/>
  <c r="C635" i="11" l="1"/>
  <c r="D635" i="11" s="1"/>
  <c r="E635" i="11" s="1"/>
  <c r="F636" i="11"/>
  <c r="B637" i="11"/>
  <c r="G637" i="11" s="1"/>
  <c r="F637" i="11" l="1"/>
  <c r="B638" i="11"/>
  <c r="C636" i="11"/>
  <c r="D636" i="11" s="1"/>
  <c r="E636" i="11" s="1"/>
  <c r="C637" i="11" l="1"/>
  <c r="D637" i="11" s="1"/>
  <c r="E637" i="11" s="1"/>
  <c r="G638" i="11"/>
  <c r="F638" i="11"/>
  <c r="B639" i="11"/>
  <c r="G639" i="11" s="1"/>
  <c r="F639" i="11" l="1"/>
  <c r="B640" i="11"/>
  <c r="C638" i="11"/>
  <c r="D638" i="11" s="1"/>
  <c r="E638" i="11" s="1"/>
  <c r="C639" i="11" l="1"/>
  <c r="D639" i="11" s="1"/>
  <c r="E639" i="11" s="1"/>
  <c r="G640" i="11"/>
  <c r="F640" i="11"/>
  <c r="B641" i="11"/>
  <c r="G641" i="11" s="1"/>
  <c r="C640" i="11" l="1"/>
  <c r="D640" i="11" s="1"/>
  <c r="E640" i="11" s="1"/>
  <c r="F641" i="11"/>
  <c r="B642" i="11"/>
  <c r="C641" i="11" l="1"/>
  <c r="D641" i="11" s="1"/>
  <c r="E641" i="11" s="1"/>
  <c r="G642" i="11"/>
  <c r="F642" i="11"/>
  <c r="B643" i="11"/>
  <c r="G643" i="11" s="1"/>
  <c r="F643" i="11" l="1"/>
  <c r="B644" i="11"/>
  <c r="C642" i="11"/>
  <c r="D642" i="11" s="1"/>
  <c r="E642" i="11" s="1"/>
  <c r="C643" i="11" l="1"/>
  <c r="D643" i="11" s="1"/>
  <c r="E643" i="11" s="1"/>
  <c r="G644" i="11"/>
  <c r="F644" i="11"/>
  <c r="B645" i="11"/>
  <c r="C644" i="11" l="1"/>
  <c r="D644" i="11" s="1"/>
  <c r="E644" i="11" s="1"/>
  <c r="G645" i="11"/>
  <c r="F645" i="11"/>
  <c r="B646" i="11"/>
  <c r="G646" i="11" s="1"/>
  <c r="F646" i="11" l="1"/>
  <c r="B647" i="11"/>
  <c r="G647" i="11" s="1"/>
  <c r="C645" i="11"/>
  <c r="D645" i="11" s="1"/>
  <c r="E645" i="11" s="1"/>
  <c r="F647" i="11" l="1"/>
  <c r="B648" i="11"/>
  <c r="C646" i="11"/>
  <c r="D646" i="11" s="1"/>
  <c r="E646" i="11" s="1"/>
  <c r="C647" i="11" l="1"/>
  <c r="D647" i="11" s="1"/>
  <c r="E647" i="11" s="1"/>
  <c r="G648" i="11"/>
  <c r="F648" i="11"/>
  <c r="B649" i="11"/>
  <c r="G649" i="11" s="1"/>
  <c r="F649" i="11" l="1"/>
  <c r="B650" i="11"/>
  <c r="G650" i="11" s="1"/>
  <c r="C648" i="11"/>
  <c r="D648" i="11" s="1"/>
  <c r="E648" i="11" s="1"/>
  <c r="F650" i="11" l="1"/>
  <c r="B651" i="11"/>
  <c r="C649" i="11"/>
  <c r="D649" i="11" s="1"/>
  <c r="E649" i="11" s="1"/>
  <c r="C650" i="11" l="1"/>
  <c r="D650" i="11" s="1"/>
  <c r="E650" i="11" s="1"/>
  <c r="G651" i="11"/>
  <c r="F651" i="11"/>
  <c r="B652" i="11"/>
  <c r="C651" i="11" l="1"/>
  <c r="D651" i="11" s="1"/>
  <c r="E651" i="11" s="1"/>
  <c r="G652" i="11"/>
  <c r="F652" i="11"/>
  <c r="B653" i="11"/>
  <c r="G653" i="11" s="1"/>
  <c r="C652" i="11" l="1"/>
  <c r="D652" i="11" s="1"/>
  <c r="E652" i="11" s="1"/>
  <c r="F653" i="11"/>
  <c r="B654" i="11"/>
  <c r="G654" i="11" s="1"/>
  <c r="C653" i="11" l="1"/>
  <c r="D653" i="11" s="1"/>
  <c r="E653" i="11" s="1"/>
  <c r="F654" i="11"/>
  <c r="B655" i="11"/>
  <c r="G655" i="11" s="1"/>
  <c r="C654" i="11" l="1"/>
  <c r="D654" i="11" s="1"/>
  <c r="E654" i="11" s="1"/>
  <c r="F655" i="11"/>
  <c r="B656" i="11"/>
  <c r="C655" i="11" l="1"/>
  <c r="D655" i="11" s="1"/>
  <c r="E655" i="11" s="1"/>
  <c r="G656" i="11"/>
  <c r="F656" i="11"/>
  <c r="B657" i="11"/>
  <c r="G657" i="11" s="1"/>
  <c r="C656" i="11"/>
  <c r="D656" i="11" s="1"/>
  <c r="E656" i="11" s="1"/>
  <c r="F657" i="11" l="1"/>
  <c r="B658" i="11"/>
  <c r="G658" i="11" s="1"/>
  <c r="F658" i="11" l="1"/>
  <c r="B659" i="11"/>
  <c r="G659" i="11" s="1"/>
  <c r="C657" i="11"/>
  <c r="D657" i="11" s="1"/>
  <c r="E657" i="11" s="1"/>
  <c r="F659" i="11" l="1"/>
  <c r="B660" i="11"/>
  <c r="G660" i="11" s="1"/>
  <c r="C658" i="11"/>
  <c r="D658" i="11" s="1"/>
  <c r="E658" i="11" s="1"/>
  <c r="F660" i="11" l="1"/>
  <c r="B661" i="11"/>
  <c r="G661" i="11" s="1"/>
  <c r="C659" i="11"/>
  <c r="D659" i="11" s="1"/>
  <c r="E659" i="11" s="1"/>
  <c r="C660" i="11" l="1"/>
  <c r="D660" i="11" s="1"/>
  <c r="E660" i="11" s="1"/>
  <c r="F661" i="11"/>
  <c r="B662" i="11"/>
  <c r="C661" i="11" l="1"/>
  <c r="D661" i="11" s="1"/>
  <c r="E661" i="11" s="1"/>
  <c r="G662" i="11"/>
  <c r="F662" i="11"/>
  <c r="B663" i="11"/>
  <c r="G663" i="11" s="1"/>
  <c r="C662" i="11"/>
  <c r="D662" i="11" s="1"/>
  <c r="E662" i="11" s="1"/>
  <c r="F663" i="11" l="1"/>
  <c r="B664" i="11"/>
  <c r="G664" i="11" s="1"/>
  <c r="F664" i="11" l="1"/>
  <c r="B665" i="11"/>
  <c r="C663" i="11"/>
  <c r="D663" i="11" s="1"/>
  <c r="E663" i="11" s="1"/>
  <c r="C664" i="11" l="1"/>
  <c r="D664" i="11" s="1"/>
  <c r="E664" i="11" s="1"/>
  <c r="G665" i="11"/>
  <c r="F665" i="11"/>
  <c r="B666" i="11"/>
  <c r="C665" i="11" l="1"/>
  <c r="D665" i="11" s="1"/>
  <c r="E665" i="11" s="1"/>
  <c r="G666" i="11"/>
  <c r="F666" i="11"/>
  <c r="B667" i="11"/>
  <c r="C666" i="11" l="1"/>
  <c r="D666" i="11" s="1"/>
  <c r="E666" i="11" s="1"/>
  <c r="G667" i="11"/>
  <c r="F667" i="11"/>
  <c r="B668" i="11"/>
  <c r="G668" i="11" s="1"/>
  <c r="C667" i="11"/>
  <c r="D667" i="11" s="1"/>
  <c r="E667" i="11" s="1"/>
  <c r="F668" i="11" l="1"/>
  <c r="B669" i="11"/>
  <c r="C668" i="11" l="1"/>
  <c r="D668" i="11" s="1"/>
  <c r="E668" i="11" s="1"/>
  <c r="G669" i="11"/>
  <c r="F669" i="11"/>
  <c r="B670" i="11"/>
  <c r="G670" i="11" s="1"/>
  <c r="F670" i="11" l="1"/>
  <c r="B671" i="11"/>
  <c r="C669" i="11"/>
  <c r="D669" i="11" s="1"/>
  <c r="E669" i="11" s="1"/>
  <c r="C670" i="11" l="1"/>
  <c r="D670" i="11" s="1"/>
  <c r="E670" i="11" s="1"/>
  <c r="G671" i="11"/>
  <c r="F671" i="11"/>
  <c r="B672" i="11"/>
  <c r="G672" i="11" s="1"/>
  <c r="C671" i="11" l="1"/>
  <c r="D671" i="11" s="1"/>
  <c r="E671" i="11" s="1"/>
  <c r="F672" i="11"/>
  <c r="B673" i="11"/>
  <c r="C672" i="11" l="1"/>
  <c r="D672" i="11" s="1"/>
  <c r="E672" i="11" s="1"/>
  <c r="G673" i="11"/>
  <c r="F673" i="11"/>
  <c r="B674" i="11"/>
  <c r="G674" i="11" s="1"/>
  <c r="F674" i="11" l="1"/>
  <c r="B675" i="11"/>
  <c r="C673" i="11"/>
  <c r="D673" i="11" s="1"/>
  <c r="E673" i="11" s="1"/>
  <c r="C674" i="11" l="1"/>
  <c r="D674" i="11" s="1"/>
  <c r="E674" i="11" s="1"/>
  <c r="G675" i="11"/>
  <c r="F675" i="11"/>
  <c r="B676" i="11"/>
  <c r="G676" i="11" s="1"/>
  <c r="F676" i="11" l="1"/>
  <c r="B677" i="11"/>
  <c r="C675" i="11"/>
  <c r="D675" i="11" s="1"/>
  <c r="E675" i="11" s="1"/>
  <c r="C676" i="11" l="1"/>
  <c r="D676" i="11" s="1"/>
  <c r="E676" i="11" s="1"/>
  <c r="G677" i="11"/>
  <c r="F677" i="11"/>
  <c r="B678" i="11"/>
  <c r="G678" i="11" s="1"/>
  <c r="F678" i="11" l="1"/>
  <c r="B679" i="11"/>
  <c r="G679" i="11" s="1"/>
  <c r="C677" i="11"/>
  <c r="D677" i="11" s="1"/>
  <c r="E677" i="11" s="1"/>
  <c r="F679" i="11" l="1"/>
  <c r="B680" i="11"/>
  <c r="C678" i="11"/>
  <c r="D678" i="11" s="1"/>
  <c r="E678" i="11" s="1"/>
  <c r="C679" i="11" l="1"/>
  <c r="D679" i="11" s="1"/>
  <c r="E679" i="11" s="1"/>
  <c r="G680" i="11"/>
  <c r="F680" i="11"/>
  <c r="B681" i="11"/>
  <c r="C680" i="11" l="1"/>
  <c r="D680" i="11" s="1"/>
  <c r="E680" i="11" s="1"/>
  <c r="G681" i="11"/>
  <c r="F681" i="11"/>
  <c r="B682" i="11"/>
  <c r="G682" i="11" s="1"/>
  <c r="C681" i="11"/>
  <c r="D681" i="11" s="1"/>
  <c r="E681" i="11" s="1"/>
  <c r="F682" i="11" l="1"/>
  <c r="B683" i="11"/>
  <c r="G683" i="11" s="1"/>
  <c r="F683" i="11" l="1"/>
  <c r="B684" i="11"/>
  <c r="G684" i="11" s="1"/>
  <c r="C682" i="11"/>
  <c r="D682" i="11" s="1"/>
  <c r="E682" i="11" s="1"/>
  <c r="F684" i="11" l="1"/>
  <c r="B685" i="11"/>
  <c r="C683" i="11"/>
  <c r="D683" i="11" s="1"/>
  <c r="E683" i="11" s="1"/>
  <c r="C684" i="11" l="1"/>
  <c r="D684" i="11" s="1"/>
  <c r="E684" i="11" s="1"/>
  <c r="G685" i="11"/>
  <c r="F685" i="11"/>
  <c r="B686" i="11"/>
  <c r="C685" i="11" l="1"/>
  <c r="D685" i="11" s="1"/>
  <c r="E685" i="11" s="1"/>
  <c r="G686" i="11"/>
  <c r="F686" i="11"/>
  <c r="B687" i="11"/>
  <c r="G687" i="11" s="1"/>
  <c r="C686" i="11"/>
  <c r="D686" i="11" s="1"/>
  <c r="E686" i="11" s="1"/>
  <c r="F687" i="11" l="1"/>
  <c r="B688" i="11"/>
  <c r="G688" i="11" s="1"/>
  <c r="F688" i="11" l="1"/>
  <c r="B689" i="11"/>
  <c r="C687" i="11"/>
  <c r="D687" i="11" s="1"/>
  <c r="E687" i="11" s="1"/>
  <c r="C688" i="11" l="1"/>
  <c r="D688" i="11" s="1"/>
  <c r="E688" i="11" s="1"/>
  <c r="G689" i="11"/>
  <c r="F689" i="11"/>
  <c r="B690" i="11"/>
  <c r="G690" i="11" s="1"/>
  <c r="C689" i="11"/>
  <c r="D689" i="11" s="1"/>
  <c r="E689" i="11" s="1"/>
  <c r="F690" i="11" l="1"/>
  <c r="B691" i="11"/>
  <c r="G691" i="11" s="1"/>
  <c r="F691" i="11" l="1"/>
  <c r="B692" i="11"/>
  <c r="G692" i="11" s="1"/>
  <c r="C691" i="11"/>
  <c r="D691" i="11" s="1"/>
  <c r="E691" i="11" s="1"/>
  <c r="C690" i="11"/>
  <c r="D690" i="11" s="1"/>
  <c r="E690" i="11" s="1"/>
  <c r="F692" i="11" l="1"/>
  <c r="B693" i="11"/>
  <c r="G693" i="11" s="1"/>
  <c r="C692" i="11"/>
  <c r="D692" i="11" s="1"/>
  <c r="E692" i="11" s="1"/>
  <c r="F693" i="11" l="1"/>
  <c r="B694" i="11"/>
  <c r="G694" i="11" s="1"/>
  <c r="C693" i="11" l="1"/>
  <c r="D693" i="11" s="1"/>
  <c r="E693" i="11" s="1"/>
  <c r="F694" i="11"/>
  <c r="B695" i="11"/>
  <c r="G695" i="11" s="1"/>
  <c r="F695" i="11" l="1"/>
  <c r="B696" i="11"/>
  <c r="C694" i="11"/>
  <c r="D694" i="11" s="1"/>
  <c r="E694" i="11" s="1"/>
  <c r="C695" i="11" l="1"/>
  <c r="D695" i="11" s="1"/>
  <c r="E695" i="11" s="1"/>
  <c r="G696" i="11"/>
  <c r="F696" i="11"/>
  <c r="B697" i="11"/>
  <c r="C696" i="11" l="1"/>
  <c r="D696" i="11" s="1"/>
  <c r="E696" i="11" s="1"/>
  <c r="G697" i="11"/>
  <c r="F697" i="11"/>
  <c r="B698" i="11"/>
  <c r="G698" i="11" s="1"/>
  <c r="C697" i="11"/>
  <c r="D697" i="11" s="1"/>
  <c r="E697" i="11" s="1"/>
  <c r="F698" i="11" l="1"/>
  <c r="B699" i="11"/>
  <c r="C698" i="11" l="1"/>
  <c r="D698" i="11" s="1"/>
  <c r="E698" i="11" s="1"/>
  <c r="G699" i="11"/>
  <c r="F699" i="11"/>
  <c r="B700" i="11"/>
  <c r="G700" i="11" s="1"/>
  <c r="C699" i="11"/>
  <c r="D699" i="11" s="1"/>
  <c r="E699" i="11" s="1"/>
  <c r="F700" i="11" l="1"/>
  <c r="B701" i="11"/>
  <c r="C700" i="11" l="1"/>
  <c r="D700" i="11" s="1"/>
  <c r="E700" i="11" s="1"/>
  <c r="G701" i="11"/>
  <c r="F701" i="11"/>
  <c r="B702" i="11"/>
  <c r="G702" i="11" s="1"/>
  <c r="C701" i="11" l="1"/>
  <c r="D701" i="11" s="1"/>
  <c r="E701" i="11" s="1"/>
  <c r="F702" i="11"/>
  <c r="B703" i="11"/>
  <c r="C702" i="11" l="1"/>
  <c r="D702" i="11" s="1"/>
  <c r="E702" i="11" s="1"/>
  <c r="G703" i="11"/>
  <c r="F703" i="11"/>
  <c r="B704" i="11"/>
  <c r="G704" i="11" s="1"/>
  <c r="C703" i="11"/>
  <c r="D703" i="11" s="1"/>
  <c r="E703" i="11" s="1"/>
  <c r="F704" i="11" l="1"/>
  <c r="B705" i="11"/>
  <c r="G705" i="11" s="1"/>
  <c r="C704" i="11" l="1"/>
  <c r="D704" i="11" s="1"/>
  <c r="E704" i="11" s="1"/>
  <c r="F705" i="11"/>
  <c r="B706" i="11"/>
  <c r="G706" i="11" s="1"/>
  <c r="F706" i="11" l="1"/>
  <c r="B707" i="11"/>
  <c r="G707" i="11" s="1"/>
  <c r="C705" i="11"/>
  <c r="D705" i="11" s="1"/>
  <c r="E705" i="11" s="1"/>
  <c r="F707" i="11" l="1"/>
  <c r="B708" i="11"/>
  <c r="C706" i="11"/>
  <c r="D706" i="11" s="1"/>
  <c r="E706" i="11" s="1"/>
  <c r="C707" i="11" l="1"/>
  <c r="D707" i="11" s="1"/>
  <c r="E707" i="11" s="1"/>
  <c r="G708" i="11"/>
  <c r="F708" i="11"/>
  <c r="B709" i="11"/>
  <c r="C708" i="11" l="1"/>
  <c r="D708" i="11" s="1"/>
  <c r="E708" i="11" s="1"/>
  <c r="G709" i="11"/>
  <c r="F709" i="11"/>
  <c r="B710" i="11"/>
  <c r="G710" i="11" s="1"/>
  <c r="C709" i="11" l="1"/>
  <c r="D709" i="11" s="1"/>
  <c r="E709" i="11" s="1"/>
  <c r="F710" i="11"/>
  <c r="B711" i="11"/>
  <c r="G711" i="11" s="1"/>
  <c r="F711" i="11" l="1"/>
  <c r="B712" i="11"/>
  <c r="G712" i="11" s="1"/>
  <c r="C710" i="11"/>
  <c r="D710" i="11" s="1"/>
  <c r="E710" i="11" s="1"/>
  <c r="C711" i="11" l="1"/>
  <c r="D711" i="11" s="1"/>
  <c r="E711" i="11" s="1"/>
  <c r="F712" i="11"/>
  <c r="B713" i="11"/>
  <c r="C712" i="11" l="1"/>
  <c r="D712" i="11" s="1"/>
  <c r="E712" i="11" s="1"/>
  <c r="G713" i="11"/>
  <c r="F713" i="11"/>
  <c r="B714" i="11"/>
  <c r="G714" i="11" s="1"/>
  <c r="F714" i="11" l="1"/>
  <c r="B715" i="11"/>
  <c r="G715" i="11" s="1"/>
  <c r="C713" i="11"/>
  <c r="D713" i="11" s="1"/>
  <c r="E713" i="11" s="1"/>
  <c r="F715" i="11" l="1"/>
  <c r="B716" i="11"/>
  <c r="G716" i="11" s="1"/>
  <c r="C715" i="11"/>
  <c r="D715" i="11" s="1"/>
  <c r="C714" i="11"/>
  <c r="D714" i="11" s="1"/>
  <c r="E714" i="11" s="1"/>
  <c r="E715" i="11" l="1"/>
  <c r="F716" i="11"/>
  <c r="B717" i="11"/>
  <c r="C716" i="11" l="1"/>
  <c r="D716" i="11" s="1"/>
  <c r="E716" i="11" s="1"/>
  <c r="G717" i="11"/>
  <c r="F717" i="11"/>
  <c r="B718" i="11"/>
  <c r="G718" i="11" s="1"/>
  <c r="C717" i="11"/>
  <c r="D717" i="11" s="1"/>
  <c r="E717" i="11" s="1"/>
  <c r="F718" i="11" l="1"/>
  <c r="B719" i="11"/>
  <c r="G719" i="11" s="1"/>
  <c r="C718" i="11"/>
  <c r="D718" i="11" s="1"/>
  <c r="E718" i="11" s="1"/>
  <c r="F719" i="11" l="1"/>
  <c r="B720" i="11"/>
  <c r="C719" i="11" l="1"/>
  <c r="D719" i="11" s="1"/>
  <c r="E719" i="11" s="1"/>
  <c r="G720" i="11"/>
  <c r="F720" i="11"/>
  <c r="B721" i="11"/>
  <c r="G721" i="11" s="1"/>
  <c r="C720" i="11" l="1"/>
  <c r="D720" i="11" s="1"/>
  <c r="E720" i="11" s="1"/>
  <c r="F721" i="11"/>
  <c r="B722" i="11"/>
  <c r="C721" i="11" l="1"/>
  <c r="D721" i="11" s="1"/>
  <c r="E721" i="11" s="1"/>
  <c r="G722" i="11"/>
  <c r="F722" i="11"/>
  <c r="B723" i="11"/>
  <c r="G723" i="11" s="1"/>
  <c r="C722" i="11"/>
  <c r="D722" i="11" s="1"/>
  <c r="E722" i="11" s="1"/>
  <c r="F723" i="11" l="1"/>
  <c r="B724" i="11"/>
  <c r="C723" i="11" l="1"/>
  <c r="D723" i="11" s="1"/>
  <c r="E723" i="11" s="1"/>
  <c r="G724" i="11"/>
  <c r="F724" i="11"/>
  <c r="B725" i="11"/>
  <c r="G725" i="11" s="1"/>
  <c r="C724" i="11"/>
  <c r="D724" i="11" s="1"/>
  <c r="E724" i="11" s="1"/>
  <c r="F725" i="11" l="1"/>
  <c r="B726" i="11"/>
  <c r="C725" i="11" l="1"/>
  <c r="D725" i="11" s="1"/>
  <c r="E725" i="11" s="1"/>
  <c r="G726" i="11"/>
  <c r="F726" i="11"/>
  <c r="B727" i="11"/>
  <c r="C726" i="11" l="1"/>
  <c r="D726" i="11" s="1"/>
  <c r="E726" i="11" s="1"/>
  <c r="G727" i="11"/>
  <c r="F727" i="11"/>
  <c r="B728" i="11"/>
  <c r="C727" i="11" l="1"/>
  <c r="D727" i="11" s="1"/>
  <c r="E727" i="11" s="1"/>
  <c r="G728" i="11"/>
  <c r="F728" i="11"/>
  <c r="B729" i="11"/>
  <c r="C728" i="11" l="1"/>
  <c r="D728" i="11" s="1"/>
  <c r="E728" i="11" s="1"/>
  <c r="G729" i="11"/>
  <c r="F729" i="11"/>
  <c r="B730" i="11"/>
  <c r="C729" i="11" l="1"/>
  <c r="D729" i="11" s="1"/>
  <c r="E729" i="11" s="1"/>
  <c r="G730" i="11"/>
  <c r="F730" i="11"/>
  <c r="B731" i="11"/>
  <c r="C730" i="11" l="1"/>
  <c r="D730" i="11" s="1"/>
  <c r="E730" i="11" s="1"/>
  <c r="G731" i="11"/>
  <c r="F731" i="11"/>
  <c r="B732" i="11"/>
  <c r="G732" i="11" s="1"/>
  <c r="C731" i="11"/>
  <c r="D731" i="11" s="1"/>
  <c r="E731" i="11" s="1"/>
  <c r="F732" i="11" l="1"/>
  <c r="B733" i="11"/>
  <c r="C732" i="11" l="1"/>
  <c r="D732" i="11" s="1"/>
  <c r="E732" i="11" s="1"/>
  <c r="G733" i="11"/>
  <c r="F733" i="11"/>
  <c r="B734" i="11"/>
  <c r="G734" i="11" s="1"/>
  <c r="F734" i="11" l="1"/>
  <c r="B735" i="11"/>
  <c r="G735" i="11" s="1"/>
  <c r="C733" i="11"/>
  <c r="D733" i="11" s="1"/>
  <c r="E733" i="11" s="1"/>
  <c r="C734" i="11" l="1"/>
  <c r="D734" i="11" s="1"/>
  <c r="E734" i="11" s="1"/>
  <c r="F735" i="11"/>
  <c r="B736" i="11"/>
  <c r="G736" i="11" s="1"/>
  <c r="F736" i="11" l="1"/>
  <c r="B737" i="11"/>
  <c r="G737" i="11" s="1"/>
  <c r="C735" i="11"/>
  <c r="D735" i="11" s="1"/>
  <c r="E735" i="11" s="1"/>
  <c r="C736" i="11" l="1"/>
  <c r="D736" i="11" s="1"/>
  <c r="E736" i="11" s="1"/>
  <c r="F737" i="11"/>
  <c r="B738" i="11"/>
  <c r="G738" i="11" s="1"/>
  <c r="F738" i="11" l="1"/>
  <c r="B739" i="11"/>
  <c r="G739" i="11" s="1"/>
  <c r="C738" i="11"/>
  <c r="D738" i="11" s="1"/>
  <c r="C737" i="11"/>
  <c r="D737" i="11" s="1"/>
  <c r="E737" i="11" s="1"/>
  <c r="E738" i="11" l="1"/>
  <c r="F739" i="11"/>
  <c r="B740" i="11"/>
  <c r="C739" i="11" l="1"/>
  <c r="D739" i="11" s="1"/>
  <c r="E739" i="11" s="1"/>
  <c r="G740" i="11"/>
  <c r="F740" i="11"/>
  <c r="B741" i="11"/>
  <c r="G741" i="11" s="1"/>
  <c r="F741" i="11" l="1"/>
  <c r="B742" i="11"/>
  <c r="G742" i="11" s="1"/>
  <c r="C740" i="11"/>
  <c r="D740" i="11" s="1"/>
  <c r="E740" i="11" s="1"/>
  <c r="F742" i="11" l="1"/>
  <c r="B743" i="11"/>
  <c r="C741" i="11"/>
  <c r="D741" i="11" s="1"/>
  <c r="E741" i="11" s="1"/>
  <c r="C742" i="11" l="1"/>
  <c r="D742" i="11" s="1"/>
  <c r="E742" i="11" s="1"/>
  <c r="G743" i="11"/>
  <c r="F743" i="11"/>
  <c r="B744" i="11"/>
  <c r="C743" i="11" l="1"/>
  <c r="D743" i="11" s="1"/>
  <c r="E743" i="11" s="1"/>
  <c r="G744" i="11"/>
  <c r="F744" i="11"/>
  <c r="B745" i="11"/>
  <c r="G745" i="11" s="1"/>
  <c r="F745" i="11" l="1"/>
  <c r="B746" i="11"/>
  <c r="C744" i="11"/>
  <c r="D744" i="11" s="1"/>
  <c r="E744" i="11" s="1"/>
  <c r="C745" i="11" l="1"/>
  <c r="D745" i="11" s="1"/>
  <c r="E745" i="11" s="1"/>
  <c r="G746" i="11"/>
  <c r="F746" i="11"/>
  <c r="B747" i="11"/>
  <c r="G747" i="11" s="1"/>
  <c r="F747" i="11" l="1"/>
  <c r="B748" i="11"/>
  <c r="G748" i="11" s="1"/>
  <c r="C746" i="11"/>
  <c r="D746" i="11" s="1"/>
  <c r="E746" i="11" s="1"/>
  <c r="C747" i="11" l="1"/>
  <c r="D747" i="11" s="1"/>
  <c r="E747" i="11" s="1"/>
  <c r="F748" i="11"/>
  <c r="B749" i="11"/>
  <c r="G749" i="11" s="1"/>
  <c r="C748" i="11"/>
  <c r="D748" i="11" s="1"/>
  <c r="E748" i="11" s="1"/>
  <c r="F749" i="11" l="1"/>
  <c r="B750" i="11"/>
  <c r="G750" i="11" s="1"/>
  <c r="C749" i="11"/>
  <c r="D749" i="11" s="1"/>
  <c r="E749" i="11" s="1"/>
  <c r="F750" i="11" l="1"/>
  <c r="B751" i="11"/>
  <c r="G751" i="11" s="1"/>
  <c r="F751" i="11" l="1"/>
  <c r="B752" i="11"/>
  <c r="G752" i="11" s="1"/>
  <c r="C750" i="11"/>
  <c r="D750" i="11" s="1"/>
  <c r="E750" i="11" s="1"/>
  <c r="F752" i="11" l="1"/>
  <c r="B753" i="11"/>
  <c r="G753" i="11" s="1"/>
  <c r="C751" i="11"/>
  <c r="D751" i="11" s="1"/>
  <c r="E751" i="11" s="1"/>
  <c r="F753" i="11" l="1"/>
  <c r="B754" i="11"/>
  <c r="G754" i="11" s="1"/>
  <c r="C752" i="11"/>
  <c r="D752" i="11" s="1"/>
  <c r="E752" i="11" s="1"/>
  <c r="F754" i="11" l="1"/>
  <c r="B755" i="11"/>
  <c r="G755" i="11" s="1"/>
  <c r="C753" i="11"/>
  <c r="D753" i="11" s="1"/>
  <c r="E753" i="11" s="1"/>
  <c r="C754" i="11" l="1"/>
  <c r="D754" i="11" s="1"/>
  <c r="E754" i="11" s="1"/>
  <c r="F755" i="11"/>
  <c r="B756" i="11"/>
  <c r="G756" i="11" s="1"/>
  <c r="C755" i="11" l="1"/>
  <c r="D755" i="11" s="1"/>
  <c r="E755" i="11" s="1"/>
  <c r="F756" i="11"/>
  <c r="B757" i="11"/>
  <c r="C756" i="11" l="1"/>
  <c r="D756" i="11" s="1"/>
  <c r="E756" i="11" s="1"/>
  <c r="G757" i="11"/>
  <c r="F757" i="11"/>
  <c r="B758" i="11"/>
  <c r="G758" i="11" s="1"/>
  <c r="F758" i="11" l="1"/>
  <c r="B759" i="11"/>
  <c r="G759" i="11" s="1"/>
  <c r="C757" i="11"/>
  <c r="D757" i="11" s="1"/>
  <c r="E757" i="11" s="1"/>
  <c r="F759" i="11" l="1"/>
  <c r="B760" i="11"/>
  <c r="G760" i="11" s="1"/>
  <c r="C758" i="11"/>
  <c r="D758" i="11" s="1"/>
  <c r="E758" i="11" s="1"/>
  <c r="F760" i="11" l="1"/>
  <c r="B761" i="11"/>
  <c r="G761" i="11" s="1"/>
  <c r="C759" i="11"/>
  <c r="D759" i="11" s="1"/>
  <c r="E759" i="11" s="1"/>
  <c r="F761" i="11" l="1"/>
  <c r="B762" i="11"/>
  <c r="G762" i="11" s="1"/>
  <c r="C760" i="11"/>
  <c r="D760" i="11" s="1"/>
  <c r="E760" i="11" s="1"/>
  <c r="F762" i="11" l="1"/>
  <c r="B763" i="11"/>
  <c r="G763" i="11" s="1"/>
  <c r="C761" i="11"/>
  <c r="D761" i="11" s="1"/>
  <c r="E761" i="11" s="1"/>
  <c r="F763" i="11" l="1"/>
  <c r="B764" i="11"/>
  <c r="G764" i="11" s="1"/>
  <c r="C762" i="11"/>
  <c r="D762" i="11" s="1"/>
  <c r="E762" i="11" s="1"/>
  <c r="C763" i="11" l="1"/>
  <c r="D763" i="11" s="1"/>
  <c r="E763" i="11" s="1"/>
  <c r="F764" i="11"/>
  <c r="B765" i="11"/>
  <c r="G765" i="11" s="1"/>
  <c r="C764" i="11" l="1"/>
  <c r="D764" i="11" s="1"/>
  <c r="E764" i="11" s="1"/>
  <c r="F765" i="11"/>
  <c r="B766" i="11"/>
  <c r="G766" i="11" s="1"/>
  <c r="F766" i="11" l="1"/>
  <c r="B767" i="11"/>
  <c r="C765" i="11"/>
  <c r="D765" i="11" s="1"/>
  <c r="E765" i="11" s="1"/>
  <c r="C766" i="11" l="1"/>
  <c r="D766" i="11" s="1"/>
  <c r="E766" i="11" s="1"/>
  <c r="G767" i="11"/>
  <c r="F767" i="11"/>
  <c r="B768" i="11"/>
  <c r="G768" i="11" s="1"/>
  <c r="F768" i="11" l="1"/>
  <c r="B769" i="11"/>
  <c r="G769" i="11" s="1"/>
  <c r="C767" i="11"/>
  <c r="D767" i="11" s="1"/>
  <c r="E767" i="11" s="1"/>
  <c r="F769" i="11" l="1"/>
  <c r="B770" i="11"/>
  <c r="C768" i="11"/>
  <c r="D768" i="11" s="1"/>
  <c r="E768" i="11" s="1"/>
  <c r="C769" i="11" l="1"/>
  <c r="D769" i="11" s="1"/>
  <c r="E769" i="11" s="1"/>
  <c r="G770" i="11"/>
  <c r="F770" i="11"/>
  <c r="B771" i="11"/>
  <c r="G771" i="11" s="1"/>
  <c r="C770" i="11" l="1"/>
  <c r="D770" i="11" s="1"/>
  <c r="E770" i="11" s="1"/>
  <c r="F771" i="11"/>
  <c r="B772" i="11"/>
  <c r="C771" i="11" l="1"/>
  <c r="D771" i="11" s="1"/>
  <c r="E771" i="11" s="1"/>
  <c r="G772" i="11"/>
  <c r="F772" i="11"/>
  <c r="B773" i="11"/>
  <c r="C772" i="11" l="1"/>
  <c r="D772" i="11" s="1"/>
  <c r="E772" i="11" s="1"/>
  <c r="G773" i="11"/>
  <c r="F773" i="11"/>
  <c r="B774" i="11"/>
  <c r="G774" i="11" s="1"/>
  <c r="C773" i="11"/>
  <c r="D773" i="11" s="1"/>
  <c r="E773" i="11" s="1"/>
  <c r="F774" i="11" l="1"/>
  <c r="B775" i="11"/>
  <c r="C774" i="11" l="1"/>
  <c r="D774" i="11" s="1"/>
  <c r="E774" i="11" s="1"/>
  <c r="G775" i="11"/>
  <c r="F775" i="11"/>
  <c r="B776" i="11"/>
  <c r="C775" i="11" l="1"/>
  <c r="D775" i="11" s="1"/>
  <c r="E775" i="11" s="1"/>
  <c r="G776" i="11"/>
  <c r="F776" i="11"/>
  <c r="B777" i="11"/>
  <c r="C776" i="11" l="1"/>
  <c r="D776" i="11" s="1"/>
  <c r="E776" i="11" s="1"/>
  <c r="G777" i="11"/>
  <c r="F777" i="11"/>
  <c r="B778" i="11"/>
  <c r="G778" i="11" s="1"/>
  <c r="C777" i="11" l="1"/>
  <c r="D777" i="11" s="1"/>
  <c r="E777" i="11" s="1"/>
  <c r="F778" i="11"/>
  <c r="B779" i="11"/>
  <c r="C778" i="11" l="1"/>
  <c r="D778" i="11" s="1"/>
  <c r="E778" i="11" s="1"/>
  <c r="G779" i="11"/>
  <c r="F779" i="11"/>
  <c r="B780" i="11"/>
  <c r="C779" i="11" l="1"/>
  <c r="D779" i="11" s="1"/>
  <c r="E779" i="11" s="1"/>
  <c r="G780" i="11"/>
  <c r="F780" i="11"/>
  <c r="B781" i="11"/>
  <c r="G781" i="11" s="1"/>
  <c r="F781" i="11" l="1"/>
  <c r="B782" i="11"/>
  <c r="C780" i="11"/>
  <c r="D780" i="11" s="1"/>
  <c r="E780" i="11" s="1"/>
  <c r="C781" i="11" l="1"/>
  <c r="D781" i="11" s="1"/>
  <c r="E781" i="11" s="1"/>
  <c r="G782" i="11"/>
  <c r="F782" i="11"/>
  <c r="B783" i="11"/>
  <c r="C782" i="11" l="1"/>
  <c r="D782" i="11" s="1"/>
  <c r="E782" i="11" s="1"/>
  <c r="G783" i="11"/>
  <c r="F783" i="11"/>
  <c r="B784" i="11"/>
  <c r="C783" i="11" l="1"/>
  <c r="D783" i="11" s="1"/>
  <c r="E783" i="11" s="1"/>
  <c r="G784" i="11"/>
  <c r="F784" i="11"/>
  <c r="B785" i="11"/>
  <c r="C784" i="11" l="1"/>
  <c r="D784" i="11" s="1"/>
  <c r="E784" i="11" s="1"/>
  <c r="G785" i="11"/>
  <c r="F785" i="11"/>
  <c r="B786" i="11"/>
  <c r="G786" i="11" s="1"/>
  <c r="F786" i="11" l="1"/>
  <c r="B787" i="11"/>
  <c r="G787" i="11" s="1"/>
  <c r="C786" i="11"/>
  <c r="D786" i="11" s="1"/>
  <c r="C785" i="11"/>
  <c r="D785" i="11" s="1"/>
  <c r="E785" i="11" s="1"/>
  <c r="E786" i="11" l="1"/>
  <c r="F787" i="11"/>
  <c r="B788" i="11"/>
  <c r="G788" i="11" s="1"/>
  <c r="F788" i="11" l="1"/>
  <c r="B789" i="11"/>
  <c r="G789" i="11" s="1"/>
  <c r="C788" i="11"/>
  <c r="D788" i="11" s="1"/>
  <c r="C787" i="11"/>
  <c r="D787" i="11" s="1"/>
  <c r="E787" i="11" s="1"/>
  <c r="E788" i="11" l="1"/>
  <c r="F789" i="11"/>
  <c r="B790" i="11"/>
  <c r="C789" i="11" l="1"/>
  <c r="D789" i="11" s="1"/>
  <c r="E789" i="11" s="1"/>
  <c r="G790" i="11"/>
  <c r="F790" i="11"/>
  <c r="B791" i="11"/>
  <c r="G791" i="11" s="1"/>
  <c r="C790" i="11"/>
  <c r="D790" i="11" s="1"/>
  <c r="E790" i="11" s="1"/>
  <c r="F791" i="11" l="1"/>
  <c r="B792" i="11"/>
  <c r="G792" i="11" s="1"/>
  <c r="C791" i="11"/>
  <c r="D791" i="11" s="1"/>
  <c r="E791" i="11" s="1"/>
  <c r="F792" i="11" l="1"/>
  <c r="B793" i="11"/>
  <c r="G793" i="11" s="1"/>
  <c r="F793" i="11" l="1"/>
  <c r="B794" i="11"/>
  <c r="G794" i="11" s="1"/>
  <c r="C792" i="11"/>
  <c r="D792" i="11" s="1"/>
  <c r="E792" i="11" s="1"/>
  <c r="F794" i="11" l="1"/>
  <c r="B795" i="11"/>
  <c r="C793" i="11"/>
  <c r="D793" i="11" s="1"/>
  <c r="E793" i="11" s="1"/>
  <c r="C794" i="11" l="1"/>
  <c r="D794" i="11" s="1"/>
  <c r="E794" i="11" s="1"/>
  <c r="G795" i="11"/>
  <c r="F795" i="11"/>
  <c r="B796" i="11"/>
  <c r="G796" i="11" s="1"/>
  <c r="F796" i="11" l="1"/>
  <c r="B797" i="11"/>
  <c r="G797" i="11" s="1"/>
  <c r="C795" i="11"/>
  <c r="D795" i="11" s="1"/>
  <c r="E795" i="11" s="1"/>
  <c r="F797" i="11" l="1"/>
  <c r="B798" i="11"/>
  <c r="C796" i="11"/>
  <c r="D796" i="11" s="1"/>
  <c r="E796" i="11" s="1"/>
  <c r="C797" i="11" l="1"/>
  <c r="D797" i="11" s="1"/>
  <c r="E797" i="11" s="1"/>
  <c r="G798" i="11"/>
  <c r="F798" i="11"/>
  <c r="B799" i="11"/>
  <c r="G799" i="11" s="1"/>
  <c r="F799" i="11" l="1"/>
  <c r="B800" i="11"/>
  <c r="G800" i="11" s="1"/>
  <c r="C798" i="11"/>
  <c r="D798" i="11" s="1"/>
  <c r="E798" i="11" s="1"/>
  <c r="F800" i="11" l="1"/>
  <c r="B801" i="11"/>
  <c r="G801" i="11" s="1"/>
  <c r="C799" i="11"/>
  <c r="D799" i="11" s="1"/>
  <c r="E799" i="11" s="1"/>
  <c r="F801" i="11" l="1"/>
  <c r="B802" i="11"/>
  <c r="C800" i="11"/>
  <c r="D800" i="11" s="1"/>
  <c r="E800" i="11" s="1"/>
  <c r="C801" i="11" l="1"/>
  <c r="D801" i="11" s="1"/>
  <c r="E801" i="11" s="1"/>
  <c r="G802" i="11"/>
  <c r="F802" i="11"/>
  <c r="B803" i="11"/>
  <c r="C802" i="11" l="1"/>
  <c r="D802" i="11" s="1"/>
  <c r="E802" i="11" s="1"/>
  <c r="G803" i="11"/>
  <c r="F803" i="11"/>
  <c r="B804" i="11"/>
  <c r="G804" i="11" s="1"/>
  <c r="C803" i="11"/>
  <c r="D803" i="11" s="1"/>
  <c r="E803" i="11" s="1"/>
  <c r="F804" i="11" l="1"/>
  <c r="B805" i="11"/>
  <c r="G805" i="11" s="1"/>
  <c r="C804" i="11"/>
  <c r="D804" i="11" s="1"/>
  <c r="E804" i="11" s="1"/>
  <c r="F805" i="11" l="1"/>
  <c r="B806" i="11"/>
  <c r="G806" i="11" s="1"/>
  <c r="F806" i="11" l="1"/>
  <c r="B807" i="11"/>
  <c r="G807" i="11" s="1"/>
  <c r="C805" i="11"/>
  <c r="D805" i="11" s="1"/>
  <c r="E805" i="11" s="1"/>
  <c r="F807" i="11" l="1"/>
  <c r="B808" i="11"/>
  <c r="G808" i="11" s="1"/>
  <c r="C807" i="11"/>
  <c r="D807" i="11" s="1"/>
  <c r="C806" i="11"/>
  <c r="D806" i="11" s="1"/>
  <c r="E806" i="11" s="1"/>
  <c r="E807" i="11" l="1"/>
  <c r="F808" i="11"/>
  <c r="B809" i="11"/>
  <c r="G809" i="11" s="1"/>
  <c r="C808" i="11" l="1"/>
  <c r="D808" i="11" s="1"/>
  <c r="E808" i="11" s="1"/>
  <c r="F809" i="11"/>
  <c r="B810" i="11"/>
  <c r="G810" i="11" s="1"/>
  <c r="F810" i="11" l="1"/>
  <c r="B811" i="11"/>
  <c r="C809" i="11"/>
  <c r="D809" i="11" s="1"/>
  <c r="E809" i="11" s="1"/>
  <c r="C810" i="11" l="1"/>
  <c r="D810" i="11" s="1"/>
  <c r="E810" i="11" s="1"/>
  <c r="G811" i="11"/>
  <c r="F811" i="11"/>
  <c r="B812" i="11"/>
  <c r="C811" i="11" l="1"/>
  <c r="D811" i="11" s="1"/>
  <c r="E811" i="11" s="1"/>
  <c r="G812" i="11"/>
  <c r="F812" i="11"/>
  <c r="B813" i="11"/>
  <c r="G813" i="11" s="1"/>
  <c r="C812" i="11"/>
  <c r="D812" i="11" s="1"/>
  <c r="E812" i="11" s="1"/>
  <c r="F813" i="11" l="1"/>
  <c r="B814" i="11"/>
  <c r="G814" i="11" s="1"/>
  <c r="C813" i="11"/>
  <c r="D813" i="11" s="1"/>
  <c r="E813" i="11" s="1"/>
  <c r="F814" i="11" l="1"/>
  <c r="B815" i="11"/>
  <c r="G815" i="11" s="1"/>
  <c r="F815" i="11" l="1"/>
  <c r="B816" i="11"/>
  <c r="C814" i="11"/>
  <c r="D814" i="11" s="1"/>
  <c r="E814" i="11" s="1"/>
  <c r="C815" i="11" l="1"/>
  <c r="D815" i="11" s="1"/>
  <c r="E815" i="11" s="1"/>
  <c r="G816" i="11"/>
  <c r="F816" i="11"/>
  <c r="B817" i="11"/>
  <c r="C816" i="11" l="1"/>
  <c r="D816" i="11" s="1"/>
  <c r="E816" i="11" s="1"/>
  <c r="G817" i="11"/>
  <c r="F817" i="11"/>
  <c r="B818" i="11"/>
  <c r="G818" i="11" s="1"/>
  <c r="F818" i="11" l="1"/>
  <c r="B819" i="11"/>
  <c r="C817" i="11"/>
  <c r="D817" i="11" s="1"/>
  <c r="E817" i="11" s="1"/>
  <c r="C818" i="11" l="1"/>
  <c r="D818" i="11" s="1"/>
  <c r="E818" i="11" s="1"/>
  <c r="G819" i="11"/>
  <c r="F819" i="11"/>
  <c r="B820" i="11"/>
  <c r="G820" i="11" s="1"/>
  <c r="F820" i="11" l="1"/>
  <c r="B821" i="11"/>
  <c r="C819" i="11"/>
  <c r="D819" i="11" s="1"/>
  <c r="E819" i="11" s="1"/>
  <c r="C820" i="11" l="1"/>
  <c r="D820" i="11" s="1"/>
  <c r="E820" i="11" s="1"/>
  <c r="G821" i="11"/>
  <c r="F821" i="11"/>
  <c r="B822" i="11"/>
  <c r="G822" i="11" s="1"/>
  <c r="F822" i="11" l="1"/>
  <c r="B823" i="11"/>
  <c r="C821" i="11"/>
  <c r="D821" i="11" s="1"/>
  <c r="E821" i="11" s="1"/>
  <c r="C822" i="11" l="1"/>
  <c r="D822" i="11" s="1"/>
  <c r="E822" i="11" s="1"/>
  <c r="G823" i="11"/>
  <c r="F823" i="11"/>
  <c r="B824" i="11"/>
  <c r="G824" i="11" s="1"/>
  <c r="F824" i="11" l="1"/>
  <c r="B825" i="11"/>
  <c r="G825" i="11" s="1"/>
  <c r="C823" i="11"/>
  <c r="D823" i="11" s="1"/>
  <c r="E823" i="11" s="1"/>
  <c r="F825" i="11" l="1"/>
  <c r="B826" i="11"/>
  <c r="C824" i="11"/>
  <c r="D824" i="11" s="1"/>
  <c r="E824" i="11" s="1"/>
  <c r="C825" i="11" l="1"/>
  <c r="D825" i="11" s="1"/>
  <c r="E825" i="11" s="1"/>
  <c r="G826" i="11"/>
  <c r="F826" i="11"/>
  <c r="B827" i="11"/>
  <c r="C826" i="11" l="1"/>
  <c r="D826" i="11" s="1"/>
  <c r="E826" i="11" s="1"/>
  <c r="G827" i="11"/>
  <c r="F827" i="11"/>
  <c r="B828" i="11"/>
  <c r="G828" i="11" s="1"/>
  <c r="F828" i="11" l="1"/>
  <c r="B829" i="11"/>
  <c r="G829" i="11" s="1"/>
  <c r="C827" i="11"/>
  <c r="D827" i="11" s="1"/>
  <c r="E827" i="11" s="1"/>
  <c r="F829" i="11" l="1"/>
  <c r="B830" i="11"/>
  <c r="G830" i="11" s="1"/>
  <c r="C828" i="11"/>
  <c r="D828" i="11" s="1"/>
  <c r="E828" i="11" s="1"/>
  <c r="C829" i="11" l="1"/>
  <c r="D829" i="11" s="1"/>
  <c r="E829" i="11" s="1"/>
  <c r="F830" i="11"/>
  <c r="B831" i="11"/>
  <c r="C830" i="11" l="1"/>
  <c r="D830" i="11" s="1"/>
  <c r="E830" i="11" s="1"/>
  <c r="G831" i="11"/>
  <c r="F831" i="11"/>
  <c r="B832" i="11"/>
  <c r="G832" i="11" s="1"/>
  <c r="C831" i="11" l="1"/>
  <c r="D831" i="11" s="1"/>
  <c r="E831" i="11" s="1"/>
  <c r="F832" i="11"/>
  <c r="B833" i="11"/>
  <c r="G833" i="11" s="1"/>
  <c r="C832" i="11" l="1"/>
  <c r="D832" i="11" s="1"/>
  <c r="E832" i="11" s="1"/>
  <c r="F833" i="11"/>
  <c r="B834" i="11"/>
  <c r="G834" i="11" s="1"/>
  <c r="F834" i="11" l="1"/>
  <c r="B835" i="11"/>
  <c r="G835" i="11" s="1"/>
  <c r="C833" i="11"/>
  <c r="D833" i="11" s="1"/>
  <c r="E833" i="11" s="1"/>
  <c r="F835" i="11" l="1"/>
  <c r="B836" i="11"/>
  <c r="C834" i="11"/>
  <c r="D834" i="11" s="1"/>
  <c r="E834" i="11" s="1"/>
  <c r="C835" i="11" l="1"/>
  <c r="D835" i="11" s="1"/>
  <c r="E835" i="11" s="1"/>
  <c r="G836" i="11"/>
  <c r="F836" i="11"/>
  <c r="B837" i="11"/>
  <c r="C836" i="11" l="1"/>
  <c r="D836" i="11" s="1"/>
  <c r="E836" i="11" s="1"/>
  <c r="G837" i="11"/>
  <c r="F837" i="11"/>
  <c r="B838" i="11"/>
  <c r="G838" i="11" s="1"/>
  <c r="F838" i="11" l="1"/>
  <c r="B839" i="11"/>
  <c r="G839" i="11" s="1"/>
  <c r="C837" i="11"/>
  <c r="D837" i="11" s="1"/>
  <c r="E837" i="11" s="1"/>
  <c r="C838" i="11" l="1"/>
  <c r="D838" i="11" s="1"/>
  <c r="E838" i="11" s="1"/>
  <c r="F839" i="11"/>
  <c r="B840" i="11"/>
  <c r="G840" i="11" s="1"/>
  <c r="C839" i="11" l="1"/>
  <c r="D839" i="11" s="1"/>
  <c r="E839" i="11" s="1"/>
  <c r="F840" i="11"/>
  <c r="B841" i="11"/>
  <c r="C840" i="11" l="1"/>
  <c r="D840" i="11" s="1"/>
  <c r="E840" i="11" s="1"/>
  <c r="G841" i="11"/>
  <c r="F841" i="11"/>
  <c r="B842" i="11"/>
  <c r="G842" i="11" s="1"/>
  <c r="C841" i="11"/>
  <c r="D841" i="11" s="1"/>
  <c r="E841" i="11" s="1"/>
  <c r="F842" i="11" l="1"/>
  <c r="B843" i="11"/>
  <c r="G843" i="11" s="1"/>
  <c r="F843" i="11" l="1"/>
  <c r="B844" i="11"/>
  <c r="G844" i="11" s="1"/>
  <c r="C842" i="11"/>
  <c r="D842" i="11" s="1"/>
  <c r="E842" i="11" s="1"/>
  <c r="F844" i="11" l="1"/>
  <c r="B845" i="11"/>
  <c r="G845" i="11" s="1"/>
  <c r="C843" i="11"/>
  <c r="D843" i="11" s="1"/>
  <c r="E843" i="11" s="1"/>
  <c r="F845" i="11" l="1"/>
  <c r="B846" i="11"/>
  <c r="G846" i="11" s="1"/>
  <c r="C844" i="11"/>
  <c r="D844" i="11" s="1"/>
  <c r="E844" i="11" s="1"/>
  <c r="F846" i="11" l="1"/>
  <c r="B847" i="11"/>
  <c r="C845" i="11"/>
  <c r="D845" i="11" s="1"/>
  <c r="E845" i="11" s="1"/>
  <c r="C846" i="11" l="1"/>
  <c r="D846" i="11" s="1"/>
  <c r="E846" i="11" s="1"/>
  <c r="G847" i="11"/>
  <c r="F847" i="11"/>
  <c r="B848" i="11"/>
  <c r="C847" i="11" l="1"/>
  <c r="D847" i="11" s="1"/>
  <c r="E847" i="11" s="1"/>
  <c r="G848" i="11"/>
  <c r="F848" i="11"/>
  <c r="B849" i="11"/>
  <c r="G849" i="11" s="1"/>
  <c r="C848" i="11"/>
  <c r="D848" i="11" s="1"/>
  <c r="E848" i="11" s="1"/>
  <c r="F849" i="11" l="1"/>
  <c r="B850" i="11"/>
  <c r="G850" i="11" s="1"/>
  <c r="F850" i="11" l="1"/>
  <c r="B851" i="11"/>
  <c r="C849" i="11"/>
  <c r="D849" i="11" s="1"/>
  <c r="E849" i="11" s="1"/>
  <c r="C850" i="11" l="1"/>
  <c r="D850" i="11" s="1"/>
  <c r="E850" i="11" s="1"/>
  <c r="G851" i="11"/>
  <c r="F851" i="11"/>
  <c r="B852" i="11"/>
  <c r="C851" i="11" l="1"/>
  <c r="D851" i="11" s="1"/>
  <c r="E851" i="11" s="1"/>
  <c r="G852" i="11"/>
  <c r="F852" i="11"/>
  <c r="B853" i="11"/>
  <c r="G853" i="11" s="1"/>
  <c r="C852" i="11" l="1"/>
  <c r="D852" i="11" s="1"/>
  <c r="E852" i="11" s="1"/>
  <c r="F853" i="11"/>
  <c r="B854" i="11"/>
  <c r="G854" i="11" s="1"/>
  <c r="F854" i="11" l="1"/>
  <c r="B855" i="11"/>
  <c r="C853" i="11"/>
  <c r="D853" i="11" s="1"/>
  <c r="E853" i="11" s="1"/>
  <c r="C854" i="11" l="1"/>
  <c r="D854" i="11" s="1"/>
  <c r="E854" i="11" s="1"/>
  <c r="G855" i="11"/>
  <c r="F855" i="11"/>
  <c r="B856" i="11"/>
  <c r="C855" i="11" l="1"/>
  <c r="D855" i="11" s="1"/>
  <c r="E855" i="11" s="1"/>
  <c r="G856" i="11"/>
  <c r="F856" i="11"/>
  <c r="B857" i="11"/>
  <c r="G857" i="11" s="1"/>
  <c r="F857" i="11" l="1"/>
  <c r="B858" i="11"/>
  <c r="G858" i="11" s="1"/>
  <c r="C856" i="11"/>
  <c r="D856" i="11" s="1"/>
  <c r="E856" i="11" s="1"/>
  <c r="F858" i="11" l="1"/>
  <c r="B859" i="11"/>
  <c r="G859" i="11" s="1"/>
  <c r="C857" i="11"/>
  <c r="D857" i="11" s="1"/>
  <c r="E857" i="11" s="1"/>
  <c r="C858" i="11" l="1"/>
  <c r="D858" i="11" s="1"/>
  <c r="E858" i="11" s="1"/>
  <c r="F859" i="11"/>
  <c r="B860" i="11"/>
  <c r="G860" i="11" s="1"/>
  <c r="C859" i="11" l="1"/>
  <c r="D859" i="11" s="1"/>
  <c r="E859" i="11" s="1"/>
  <c r="F860" i="11"/>
  <c r="B861" i="11"/>
  <c r="C860" i="11" l="1"/>
  <c r="D860" i="11" s="1"/>
  <c r="E860" i="11" s="1"/>
  <c r="G861" i="11"/>
  <c r="F861" i="11"/>
  <c r="B862" i="11"/>
  <c r="G862" i="11" s="1"/>
  <c r="F862" i="11" l="1"/>
  <c r="B863" i="11"/>
  <c r="G863" i="11" s="1"/>
  <c r="C861" i="11"/>
  <c r="D861" i="11" s="1"/>
  <c r="E861" i="11" s="1"/>
  <c r="F863" i="11" l="1"/>
  <c r="B864" i="11"/>
  <c r="C862" i="11"/>
  <c r="D862" i="11" s="1"/>
  <c r="E862" i="11" s="1"/>
  <c r="C863" i="11" l="1"/>
  <c r="D863" i="11" s="1"/>
  <c r="E863" i="11" s="1"/>
  <c r="G864" i="11"/>
  <c r="F864" i="11"/>
  <c r="B865" i="11"/>
  <c r="C864" i="11" l="1"/>
  <c r="D864" i="11" s="1"/>
  <c r="E864" i="11" s="1"/>
  <c r="G865" i="11"/>
  <c r="F865" i="11"/>
  <c r="B866" i="11"/>
  <c r="G866" i="11" s="1"/>
  <c r="F866" i="11" l="1"/>
  <c r="B867" i="11"/>
  <c r="C865" i="11"/>
  <c r="D865" i="11" s="1"/>
  <c r="E865" i="11" s="1"/>
  <c r="C866" i="11" l="1"/>
  <c r="D866" i="11" s="1"/>
  <c r="E866" i="11" s="1"/>
  <c r="G867" i="11"/>
  <c r="F867" i="11"/>
  <c r="B868" i="11"/>
  <c r="C867" i="11" l="1"/>
  <c r="D867" i="11" s="1"/>
  <c r="E867" i="11" s="1"/>
  <c r="G868" i="11"/>
  <c r="F868" i="11"/>
  <c r="B869" i="11"/>
  <c r="G869" i="11" s="1"/>
  <c r="F869" i="11" l="1"/>
  <c r="B870" i="11"/>
  <c r="C868" i="11"/>
  <c r="D868" i="11" s="1"/>
  <c r="E868" i="11" s="1"/>
  <c r="C869" i="11" l="1"/>
  <c r="D869" i="11" s="1"/>
  <c r="E869" i="11" s="1"/>
  <c r="G870" i="11"/>
  <c r="F870" i="11"/>
  <c r="B871" i="11"/>
  <c r="G871" i="11" s="1"/>
  <c r="C870" i="11"/>
  <c r="D870" i="11" s="1"/>
  <c r="E870" i="11" s="1"/>
  <c r="F871" i="11" l="1"/>
  <c r="B872" i="11"/>
  <c r="G872" i="11" s="1"/>
  <c r="C871" i="11"/>
  <c r="D871" i="11" s="1"/>
  <c r="E871" i="11" s="1"/>
  <c r="F872" i="11" l="1"/>
  <c r="B873" i="11"/>
  <c r="G873" i="11" s="1"/>
  <c r="F873" i="11" l="1"/>
  <c r="B874" i="11"/>
  <c r="C872" i="11"/>
  <c r="D872" i="11" s="1"/>
  <c r="E872" i="11" s="1"/>
  <c r="C873" i="11" l="1"/>
  <c r="D873" i="11" s="1"/>
  <c r="E873" i="11" s="1"/>
  <c r="G874" i="11"/>
  <c r="F874" i="11"/>
  <c r="B875" i="11"/>
  <c r="G875" i="11" s="1"/>
  <c r="F875" i="11" l="1"/>
  <c r="B876" i="11"/>
  <c r="G876" i="11" s="1"/>
  <c r="C874" i="11"/>
  <c r="D874" i="11" s="1"/>
  <c r="E874" i="11" s="1"/>
  <c r="F876" i="11" l="1"/>
  <c r="B877" i="11"/>
  <c r="G877" i="11" s="1"/>
  <c r="C875" i="11"/>
  <c r="D875" i="11" s="1"/>
  <c r="E875" i="11" s="1"/>
  <c r="C876" i="11" l="1"/>
  <c r="D876" i="11" s="1"/>
  <c r="E876" i="11" s="1"/>
  <c r="F877" i="11"/>
  <c r="B878" i="11"/>
  <c r="C877" i="11" l="1"/>
  <c r="D877" i="11" s="1"/>
  <c r="E877" i="11" s="1"/>
  <c r="G878" i="11"/>
  <c r="F878" i="11"/>
  <c r="B879" i="11"/>
  <c r="C878" i="11" l="1"/>
  <c r="D878" i="11" s="1"/>
  <c r="E878" i="11" s="1"/>
  <c r="G879" i="11"/>
  <c r="F879" i="11"/>
  <c r="B880" i="11"/>
  <c r="G880" i="11" s="1"/>
  <c r="C879" i="11"/>
  <c r="D879" i="11" s="1"/>
  <c r="E879" i="11" s="1"/>
  <c r="F880" i="11" l="1"/>
  <c r="B881" i="11"/>
  <c r="G881" i="11" s="1"/>
  <c r="C880" i="11" l="1"/>
  <c r="D880" i="11" s="1"/>
  <c r="E880" i="11" s="1"/>
  <c r="F881" i="11"/>
  <c r="B882" i="11"/>
  <c r="G882" i="11" s="1"/>
  <c r="F882" i="11" l="1"/>
  <c r="B883" i="11"/>
  <c r="G883" i="11" s="1"/>
  <c r="C881" i="11"/>
  <c r="D881" i="11" s="1"/>
  <c r="E881" i="11" s="1"/>
  <c r="C882" i="11" l="1"/>
  <c r="D882" i="11" s="1"/>
  <c r="E882" i="11" s="1"/>
  <c r="F883" i="11"/>
  <c r="B884" i="11"/>
  <c r="G884" i="11" s="1"/>
  <c r="C883" i="11"/>
  <c r="D883" i="11" s="1"/>
  <c r="E883" i="11" s="1"/>
  <c r="F884" i="11" l="1"/>
  <c r="B885" i="11"/>
  <c r="C884" i="11" l="1"/>
  <c r="D884" i="11" s="1"/>
  <c r="E884" i="11" s="1"/>
  <c r="G885" i="11"/>
  <c r="F885" i="11"/>
  <c r="B886" i="11"/>
  <c r="C885" i="11" l="1"/>
  <c r="D885" i="11" s="1"/>
  <c r="E885" i="11" s="1"/>
  <c r="G886" i="11"/>
  <c r="F886" i="11"/>
  <c r="B887" i="11"/>
  <c r="G887" i="11" s="1"/>
  <c r="C886" i="11"/>
  <c r="D886" i="11" s="1"/>
  <c r="E886" i="11" s="1"/>
  <c r="F887" i="11" l="1"/>
  <c r="B888" i="11"/>
  <c r="G888" i="11" s="1"/>
  <c r="F888" i="11" l="1"/>
  <c r="B889" i="11"/>
  <c r="G889" i="11" s="1"/>
  <c r="C887" i="11"/>
  <c r="D887" i="11" s="1"/>
  <c r="E887" i="11" s="1"/>
  <c r="F889" i="11" l="1"/>
  <c r="B890" i="11"/>
  <c r="C888" i="11"/>
  <c r="D888" i="11" s="1"/>
  <c r="E888" i="11" s="1"/>
  <c r="C889" i="11" l="1"/>
  <c r="D889" i="11" s="1"/>
  <c r="E889" i="11" s="1"/>
  <c r="G890" i="11"/>
  <c r="F890" i="11"/>
  <c r="B891" i="11"/>
  <c r="G891" i="11" s="1"/>
  <c r="F891" i="11" l="1"/>
  <c r="B892" i="11"/>
  <c r="G892" i="11" s="1"/>
  <c r="C890" i="11"/>
  <c r="D890" i="11" s="1"/>
  <c r="E890" i="11" s="1"/>
  <c r="F892" i="11" l="1"/>
  <c r="B893" i="11"/>
  <c r="G893" i="11" s="1"/>
  <c r="C891" i="11"/>
  <c r="D891" i="11" s="1"/>
  <c r="E891" i="11" s="1"/>
  <c r="C892" i="11" l="1"/>
  <c r="D892" i="11" s="1"/>
  <c r="E892" i="11" s="1"/>
  <c r="F893" i="11"/>
  <c r="B894" i="11"/>
  <c r="C893" i="11" l="1"/>
  <c r="D893" i="11" s="1"/>
  <c r="E893" i="11" s="1"/>
  <c r="G894" i="11"/>
  <c r="F894" i="11"/>
  <c r="B895" i="11"/>
  <c r="G895" i="11" s="1"/>
  <c r="C894" i="11" l="1"/>
  <c r="D894" i="11" s="1"/>
  <c r="E894" i="11" s="1"/>
  <c r="F895" i="11"/>
  <c r="B896" i="11"/>
  <c r="G896" i="11" s="1"/>
  <c r="C895" i="11" l="1"/>
  <c r="D895" i="11" s="1"/>
  <c r="E895" i="11" s="1"/>
  <c r="F896" i="11"/>
  <c r="B897" i="11"/>
  <c r="G897" i="11" s="1"/>
  <c r="C896" i="11" l="1"/>
  <c r="D896" i="11" s="1"/>
  <c r="E896" i="11" s="1"/>
  <c r="F897" i="11"/>
  <c r="B898" i="11"/>
  <c r="G898" i="11" s="1"/>
  <c r="F898" i="11" l="1"/>
  <c r="B899" i="11"/>
  <c r="G899" i="11" s="1"/>
  <c r="C897" i="11"/>
  <c r="D897" i="11" s="1"/>
  <c r="E897" i="11" s="1"/>
  <c r="F899" i="11" l="1"/>
  <c r="B900" i="11"/>
  <c r="C898" i="11"/>
  <c r="D898" i="11" s="1"/>
  <c r="E898" i="11" s="1"/>
  <c r="C899" i="11" l="1"/>
  <c r="D899" i="11" s="1"/>
  <c r="E899" i="11" s="1"/>
  <c r="G900" i="11"/>
  <c r="F900" i="11"/>
  <c r="B901" i="11"/>
  <c r="G901" i="11" s="1"/>
  <c r="F901" i="11" l="1"/>
  <c r="B902" i="11"/>
  <c r="G902" i="11" s="1"/>
  <c r="C901" i="11"/>
  <c r="D901" i="11" s="1"/>
  <c r="C900" i="11"/>
  <c r="D900" i="11" s="1"/>
  <c r="E900" i="11" s="1"/>
  <c r="E901" i="11" l="1"/>
  <c r="F902" i="11"/>
  <c r="B903" i="11"/>
  <c r="G903" i="11" s="1"/>
  <c r="F903" i="11" l="1"/>
  <c r="B904" i="11"/>
  <c r="G904" i="11" s="1"/>
  <c r="C902" i="11"/>
  <c r="D902" i="11" s="1"/>
  <c r="E902" i="11" s="1"/>
  <c r="F904" i="11" l="1"/>
  <c r="B905" i="11"/>
  <c r="C903" i="11"/>
  <c r="D903" i="11" s="1"/>
  <c r="E903" i="11" s="1"/>
  <c r="C904" i="11" l="1"/>
  <c r="D904" i="11" s="1"/>
  <c r="E904" i="11" s="1"/>
  <c r="G905" i="11"/>
  <c r="F905" i="11"/>
  <c r="B906" i="11"/>
  <c r="G906" i="11" s="1"/>
  <c r="F906" i="11" l="1"/>
  <c r="B907" i="11"/>
  <c r="C905" i="11"/>
  <c r="D905" i="11" s="1"/>
  <c r="E905" i="11" s="1"/>
  <c r="C906" i="11" l="1"/>
  <c r="D906" i="11" s="1"/>
  <c r="E906" i="11" s="1"/>
  <c r="G907" i="11"/>
  <c r="F907" i="11"/>
  <c r="B908" i="11"/>
  <c r="C907" i="11" l="1"/>
  <c r="D907" i="11" s="1"/>
  <c r="E907" i="11" s="1"/>
  <c r="G908" i="11"/>
  <c r="F908" i="11"/>
  <c r="B909" i="11"/>
  <c r="C908" i="11" l="1"/>
  <c r="D908" i="11" s="1"/>
  <c r="E908" i="11" s="1"/>
  <c r="G909" i="11"/>
  <c r="F909" i="11"/>
  <c r="B910" i="11"/>
  <c r="C909" i="11" l="1"/>
  <c r="D909" i="11" s="1"/>
  <c r="E909" i="11" s="1"/>
  <c r="G910" i="11"/>
  <c r="F910" i="11"/>
  <c r="B911" i="11"/>
  <c r="G911" i="11" s="1"/>
  <c r="F911" i="11" l="1"/>
  <c r="B912" i="11"/>
  <c r="C910" i="11"/>
  <c r="D910" i="11" s="1"/>
  <c r="E910" i="11" s="1"/>
  <c r="C911" i="11" l="1"/>
  <c r="D911" i="11" s="1"/>
  <c r="E911" i="11" s="1"/>
  <c r="G912" i="11"/>
  <c r="F912" i="11"/>
  <c r="B913" i="11"/>
  <c r="C912" i="11" l="1"/>
  <c r="D912" i="11" s="1"/>
  <c r="E912" i="11" s="1"/>
  <c r="G913" i="11"/>
  <c r="F913" i="11"/>
  <c r="B914" i="11"/>
  <c r="G914" i="11" s="1"/>
  <c r="F914" i="11" l="1"/>
  <c r="B915" i="11"/>
  <c r="C913" i="11"/>
  <c r="D913" i="11" s="1"/>
  <c r="E913" i="11" s="1"/>
  <c r="C914" i="11" l="1"/>
  <c r="D914" i="11" s="1"/>
  <c r="E914" i="11" s="1"/>
  <c r="G915" i="11"/>
  <c r="F915" i="11"/>
  <c r="B916" i="11"/>
  <c r="G916" i="11" s="1"/>
  <c r="C915" i="11" l="1"/>
  <c r="D915" i="11" s="1"/>
  <c r="E915" i="11" s="1"/>
  <c r="F916" i="11"/>
  <c r="B917" i="11"/>
  <c r="G917" i="11" s="1"/>
  <c r="F917" i="11" l="1"/>
  <c r="B918" i="11"/>
  <c r="G918" i="11" s="1"/>
  <c r="C916" i="11"/>
  <c r="D916" i="11" s="1"/>
  <c r="E916" i="11" s="1"/>
  <c r="F918" i="11" l="1"/>
  <c r="B919" i="11"/>
  <c r="G919" i="11" s="1"/>
  <c r="C917" i="11"/>
  <c r="D917" i="11" s="1"/>
  <c r="E917" i="11" s="1"/>
  <c r="F919" i="11" l="1"/>
  <c r="B920" i="11"/>
  <c r="C918" i="11"/>
  <c r="D918" i="11" s="1"/>
  <c r="E918" i="11" s="1"/>
  <c r="C919" i="11" l="1"/>
  <c r="D919" i="11" s="1"/>
  <c r="E919" i="11" s="1"/>
  <c r="G920" i="11"/>
  <c r="F920" i="11"/>
  <c r="B921" i="11"/>
  <c r="G921" i="11" s="1"/>
  <c r="F921" i="11" l="1"/>
  <c r="B922" i="11"/>
  <c r="C920" i="11"/>
  <c r="D920" i="11" s="1"/>
  <c r="E920" i="11" s="1"/>
  <c r="C921" i="11" l="1"/>
  <c r="D921" i="11" s="1"/>
  <c r="E921" i="11" s="1"/>
  <c r="G922" i="11"/>
  <c r="F922" i="11"/>
  <c r="B923" i="11"/>
  <c r="G923" i="11" s="1"/>
  <c r="F923" i="11" l="1"/>
  <c r="B924" i="11"/>
  <c r="G924" i="11" s="1"/>
  <c r="C922" i="11"/>
  <c r="D922" i="11" s="1"/>
  <c r="E922" i="11" s="1"/>
  <c r="F924" i="11" l="1"/>
  <c r="B925" i="11"/>
  <c r="C923" i="11"/>
  <c r="D923" i="11" s="1"/>
  <c r="E923" i="11" s="1"/>
  <c r="C924" i="11" l="1"/>
  <c r="D924" i="11" s="1"/>
  <c r="E924" i="11" s="1"/>
  <c r="G925" i="11"/>
  <c r="F925" i="11"/>
  <c r="B926" i="11"/>
  <c r="C925" i="11" l="1"/>
  <c r="D925" i="11" s="1"/>
  <c r="E925" i="11" s="1"/>
  <c r="G926" i="11"/>
  <c r="F926" i="11"/>
  <c r="B927" i="11"/>
  <c r="C926" i="11" l="1"/>
  <c r="D926" i="11" s="1"/>
  <c r="E926" i="11" s="1"/>
  <c r="G927" i="11"/>
  <c r="F927" i="11"/>
  <c r="B928" i="11"/>
  <c r="C927" i="11" l="1"/>
  <c r="D927" i="11" s="1"/>
  <c r="E927" i="11" s="1"/>
  <c r="G928" i="11"/>
  <c r="F928" i="11"/>
  <c r="B929" i="11"/>
  <c r="C928" i="11" l="1"/>
  <c r="D928" i="11" s="1"/>
  <c r="E928" i="11" s="1"/>
  <c r="G929" i="11"/>
  <c r="F929" i="11"/>
  <c r="B930" i="11"/>
  <c r="C929" i="11" l="1"/>
  <c r="D929" i="11" s="1"/>
  <c r="E929" i="11" s="1"/>
  <c r="G930" i="11"/>
  <c r="F930" i="11"/>
  <c r="B931" i="11"/>
  <c r="G931" i="11" s="1"/>
  <c r="F931" i="11" l="1"/>
  <c r="B932" i="11"/>
  <c r="C930" i="11"/>
  <c r="D930" i="11" s="1"/>
  <c r="E930" i="11" s="1"/>
  <c r="C931" i="11" l="1"/>
  <c r="D931" i="11" s="1"/>
  <c r="E931" i="11" s="1"/>
  <c r="G932" i="11"/>
  <c r="F932" i="11"/>
  <c r="B933" i="11"/>
  <c r="C932" i="11" l="1"/>
  <c r="D932" i="11" s="1"/>
  <c r="E932" i="11" s="1"/>
  <c r="G933" i="11"/>
  <c r="F933" i="11"/>
  <c r="B934" i="11"/>
  <c r="G934" i="11" s="1"/>
  <c r="C933" i="11" l="1"/>
  <c r="D933" i="11" s="1"/>
  <c r="E933" i="11" s="1"/>
  <c r="F934" i="11"/>
  <c r="B935" i="11"/>
  <c r="G935" i="11" s="1"/>
  <c r="F935" i="11" l="1"/>
  <c r="B936" i="11"/>
  <c r="G936" i="11" s="1"/>
  <c r="C934" i="11"/>
  <c r="D934" i="11" s="1"/>
  <c r="E934" i="11" s="1"/>
  <c r="F936" i="11" l="1"/>
  <c r="B937" i="11"/>
  <c r="C935" i="11"/>
  <c r="D935" i="11" s="1"/>
  <c r="E935" i="11" s="1"/>
  <c r="C936" i="11" l="1"/>
  <c r="D936" i="11" s="1"/>
  <c r="E936" i="11" s="1"/>
  <c r="G937" i="11"/>
  <c r="F937" i="11"/>
  <c r="B938" i="11"/>
  <c r="C937" i="11" l="1"/>
  <c r="D937" i="11" s="1"/>
  <c r="E937" i="11" s="1"/>
  <c r="G938" i="11"/>
  <c r="F938" i="11"/>
  <c r="B939" i="11"/>
  <c r="G939" i="11" s="1"/>
  <c r="F939" i="11" l="1"/>
  <c r="B940" i="11"/>
  <c r="G940" i="11" s="1"/>
  <c r="C938" i="11"/>
  <c r="D938" i="11" s="1"/>
  <c r="E938" i="11" s="1"/>
  <c r="C939" i="11" l="1"/>
  <c r="D939" i="11" s="1"/>
  <c r="E939" i="11" s="1"/>
  <c r="F940" i="11"/>
  <c r="B941" i="11"/>
  <c r="G941" i="11" s="1"/>
  <c r="C940" i="11" l="1"/>
  <c r="D940" i="11" s="1"/>
  <c r="E940" i="11" s="1"/>
  <c r="F941" i="11"/>
  <c r="B942" i="11"/>
  <c r="G942" i="11" s="1"/>
  <c r="C941" i="11" l="1"/>
  <c r="D941" i="11" s="1"/>
  <c r="E941" i="11" s="1"/>
  <c r="F942" i="11"/>
  <c r="B943" i="11"/>
  <c r="G943" i="11" s="1"/>
  <c r="F943" i="11" l="1"/>
  <c r="B944" i="11"/>
  <c r="C942" i="11"/>
  <c r="D942" i="11" s="1"/>
  <c r="E942" i="11" s="1"/>
  <c r="C943" i="11" l="1"/>
  <c r="D943" i="11" s="1"/>
  <c r="E943" i="11" s="1"/>
  <c r="G944" i="11"/>
  <c r="F944" i="11"/>
  <c r="B945" i="11"/>
  <c r="G945" i="11" s="1"/>
  <c r="F945" i="11" l="1"/>
  <c r="B946" i="11"/>
  <c r="C944" i="11"/>
  <c r="D944" i="11" s="1"/>
  <c r="E944" i="11" s="1"/>
  <c r="C945" i="11" l="1"/>
  <c r="D945" i="11" s="1"/>
  <c r="E945" i="11" s="1"/>
  <c r="G946" i="11"/>
  <c r="F946" i="11"/>
  <c r="B947" i="11"/>
  <c r="G947" i="11" s="1"/>
  <c r="F947" i="11" l="1"/>
  <c r="B948" i="11"/>
  <c r="C946" i="11"/>
  <c r="D946" i="11" s="1"/>
  <c r="E946" i="11" s="1"/>
  <c r="C947" i="11" l="1"/>
  <c r="D947" i="11" s="1"/>
  <c r="G948" i="11"/>
  <c r="E947" i="11"/>
  <c r="F948" i="11"/>
  <c r="B949" i="11"/>
  <c r="C948" i="11" l="1"/>
  <c r="D948" i="11" s="1"/>
  <c r="E948" i="11" s="1"/>
  <c r="G949" i="11"/>
  <c r="F949" i="11"/>
  <c r="B950" i="11"/>
  <c r="C949" i="11" l="1"/>
  <c r="D949" i="11" s="1"/>
  <c r="E949" i="11" s="1"/>
  <c r="G950" i="11"/>
  <c r="F950" i="11"/>
  <c r="B951" i="11"/>
  <c r="G951" i="11" s="1"/>
  <c r="F951" i="11" l="1"/>
  <c r="B952" i="11"/>
  <c r="G952" i="11" s="1"/>
  <c r="C950" i="11"/>
  <c r="D950" i="11" s="1"/>
  <c r="E950" i="11" s="1"/>
  <c r="F952" i="11" l="1"/>
  <c r="B953" i="11"/>
  <c r="G953" i="11" s="1"/>
  <c r="C952" i="11"/>
  <c r="D952" i="11" s="1"/>
  <c r="C951" i="11"/>
  <c r="D951" i="11" s="1"/>
  <c r="E951" i="11" s="1"/>
  <c r="E952" i="11" l="1"/>
  <c r="F953" i="11"/>
  <c r="B954" i="11"/>
  <c r="G954" i="11" s="1"/>
  <c r="C953" i="11" l="1"/>
  <c r="D953" i="11" s="1"/>
  <c r="E953" i="11" s="1"/>
  <c r="F954" i="11"/>
  <c r="B955" i="11"/>
  <c r="C954" i="11" l="1"/>
  <c r="D954" i="11" s="1"/>
  <c r="E954" i="11" s="1"/>
  <c r="G955" i="11"/>
  <c r="F955" i="11"/>
  <c r="B956" i="11"/>
  <c r="G956" i="11" s="1"/>
  <c r="F956" i="11" l="1"/>
  <c r="B957" i="11"/>
  <c r="G957" i="11" s="1"/>
  <c r="C955" i="11"/>
  <c r="D955" i="11" s="1"/>
  <c r="E955" i="11" s="1"/>
  <c r="F957" i="11" l="1"/>
  <c r="B958" i="11"/>
  <c r="G958" i="11" s="1"/>
  <c r="C956" i="11"/>
  <c r="D956" i="11" s="1"/>
  <c r="E956" i="11" s="1"/>
  <c r="F958" i="11" l="1"/>
  <c r="B959" i="11"/>
  <c r="C957" i="11"/>
  <c r="D957" i="11" s="1"/>
  <c r="E957" i="11" s="1"/>
  <c r="C958" i="11" l="1"/>
  <c r="D958" i="11" s="1"/>
  <c r="G959" i="11"/>
  <c r="E958" i="11"/>
  <c r="F959" i="11"/>
  <c r="B960" i="11"/>
  <c r="G960" i="11" s="1"/>
  <c r="F960" i="11" l="1"/>
  <c r="B961" i="11"/>
  <c r="G961" i="11" s="1"/>
  <c r="C959" i="11"/>
  <c r="D959" i="11" s="1"/>
  <c r="E959" i="11" s="1"/>
  <c r="F961" i="11" l="1"/>
  <c r="B962" i="11"/>
  <c r="G962" i="11" s="1"/>
  <c r="C960" i="11"/>
  <c r="D960" i="11" s="1"/>
  <c r="E960" i="11" s="1"/>
  <c r="F962" i="11" l="1"/>
  <c r="B963" i="11"/>
  <c r="C961" i="11"/>
  <c r="D961" i="11" s="1"/>
  <c r="E961" i="11" s="1"/>
  <c r="C962" i="11" l="1"/>
  <c r="D962" i="11" s="1"/>
  <c r="E962" i="11" s="1"/>
  <c r="G963" i="11"/>
  <c r="F963" i="11"/>
  <c r="B964" i="11"/>
  <c r="C963" i="11" l="1"/>
  <c r="D963" i="11" s="1"/>
  <c r="E963" i="11" s="1"/>
  <c r="G964" i="11"/>
  <c r="F964" i="11"/>
  <c r="B965" i="11"/>
  <c r="C964" i="11" l="1"/>
  <c r="D964" i="11" s="1"/>
  <c r="E964" i="11" s="1"/>
  <c r="G965" i="11"/>
  <c r="F965" i="11"/>
  <c r="B966" i="11"/>
  <c r="G966" i="11" s="1"/>
  <c r="F966" i="11" l="1"/>
  <c r="B967" i="11"/>
  <c r="C965" i="11"/>
  <c r="D965" i="11" s="1"/>
  <c r="E965" i="11" s="1"/>
  <c r="C966" i="11" l="1"/>
  <c r="D966" i="11" s="1"/>
  <c r="E966" i="11" s="1"/>
  <c r="G967" i="11"/>
  <c r="F967" i="11"/>
  <c r="B968" i="11"/>
  <c r="C967" i="11" l="1"/>
  <c r="D967" i="11" s="1"/>
  <c r="E967" i="11" s="1"/>
  <c r="G968" i="11"/>
  <c r="F968" i="11"/>
  <c r="B969" i="11"/>
  <c r="C968" i="11" l="1"/>
  <c r="D968" i="11" s="1"/>
  <c r="E968" i="11" s="1"/>
  <c r="G969" i="11"/>
  <c r="F969" i="11"/>
  <c r="B970" i="11"/>
  <c r="G970" i="11" s="1"/>
  <c r="F970" i="11" l="1"/>
  <c r="B971" i="11"/>
  <c r="C969" i="11"/>
  <c r="D969" i="11" s="1"/>
  <c r="E969" i="11" s="1"/>
  <c r="C970" i="11" l="1"/>
  <c r="D970" i="11" s="1"/>
  <c r="G971" i="11"/>
  <c r="E970" i="11"/>
  <c r="F971" i="11"/>
  <c r="B972" i="11"/>
  <c r="C971" i="11" l="1"/>
  <c r="D971" i="11" s="1"/>
  <c r="E971" i="11" s="1"/>
  <c r="G972" i="11"/>
  <c r="F972" i="11"/>
  <c r="B973" i="11"/>
  <c r="G973" i="11" s="1"/>
  <c r="F973" i="11" l="1"/>
  <c r="B974" i="11"/>
  <c r="G974" i="11" s="1"/>
  <c r="C972" i="11"/>
  <c r="D972" i="11" s="1"/>
  <c r="E972" i="11" s="1"/>
  <c r="F974" i="11" l="1"/>
  <c r="B975" i="11"/>
  <c r="G975" i="11" s="1"/>
  <c r="C973" i="11"/>
  <c r="D973" i="11" s="1"/>
  <c r="E973" i="11" s="1"/>
  <c r="F975" i="11" l="1"/>
  <c r="B976" i="11"/>
  <c r="C974" i="11"/>
  <c r="D974" i="11" s="1"/>
  <c r="E974" i="11" s="1"/>
  <c r="C975" i="11" l="1"/>
  <c r="D975" i="11" s="1"/>
  <c r="E975" i="11" s="1"/>
  <c r="G976" i="11"/>
  <c r="F976" i="11"/>
  <c r="B977" i="11"/>
  <c r="G977" i="11" s="1"/>
  <c r="F977" i="11" l="1"/>
  <c r="B978" i="11"/>
  <c r="C976" i="11"/>
  <c r="D976" i="11" s="1"/>
  <c r="E976" i="11" s="1"/>
  <c r="C977" i="11" l="1"/>
  <c r="D977" i="11" s="1"/>
  <c r="E977" i="11" s="1"/>
  <c r="G978" i="11"/>
  <c r="F978" i="11"/>
  <c r="B979" i="11"/>
  <c r="G979" i="11" s="1"/>
  <c r="F979" i="11" l="1"/>
  <c r="B980" i="11"/>
  <c r="C978" i="11"/>
  <c r="D978" i="11" s="1"/>
  <c r="E978" i="11" s="1"/>
  <c r="C979" i="11" l="1"/>
  <c r="D979" i="11" s="1"/>
  <c r="E979" i="11" s="1"/>
  <c r="G980" i="11"/>
  <c r="F980" i="11"/>
  <c r="B981" i="11"/>
  <c r="G981" i="11" s="1"/>
  <c r="F981" i="11" l="1"/>
  <c r="B982" i="11"/>
  <c r="C980" i="11"/>
  <c r="D980" i="11" s="1"/>
  <c r="E980" i="11" s="1"/>
  <c r="C981" i="11" l="1"/>
  <c r="D981" i="11" s="1"/>
  <c r="G982" i="11"/>
  <c r="E981" i="11"/>
  <c r="F982" i="11"/>
  <c r="B983" i="11"/>
  <c r="G983" i="11" s="1"/>
  <c r="F983" i="11" l="1"/>
  <c r="B984" i="11"/>
  <c r="G984" i="11" s="1"/>
  <c r="C982" i="11"/>
  <c r="D982" i="11" s="1"/>
  <c r="E982" i="11" s="1"/>
  <c r="F984" i="11" l="1"/>
  <c r="B985" i="11"/>
  <c r="C983" i="11"/>
  <c r="D983" i="11" s="1"/>
  <c r="E983" i="11" s="1"/>
  <c r="C984" i="11" l="1"/>
  <c r="D984" i="11" s="1"/>
  <c r="E984" i="11" s="1"/>
  <c r="G985" i="11"/>
  <c r="F985" i="11"/>
  <c r="B986" i="11"/>
  <c r="G986" i="11" s="1"/>
  <c r="F986" i="11" l="1"/>
  <c r="B987" i="11"/>
  <c r="G987" i="11" s="1"/>
  <c r="C986" i="11"/>
  <c r="D986" i="11" s="1"/>
  <c r="C985" i="11"/>
  <c r="D985" i="11" s="1"/>
  <c r="E985" i="11" s="1"/>
  <c r="E986" i="11" l="1"/>
  <c r="F987" i="11"/>
  <c r="B988" i="11"/>
  <c r="G988" i="11" s="1"/>
  <c r="C987" i="11"/>
  <c r="D987" i="11" s="1"/>
  <c r="E987" i="11" s="1"/>
  <c r="F988" i="11" l="1"/>
  <c r="B989" i="11"/>
  <c r="C988" i="11" l="1"/>
  <c r="D988" i="11" s="1"/>
  <c r="E988" i="11" s="1"/>
  <c r="G989" i="11"/>
  <c r="F989" i="11"/>
  <c r="B990" i="11"/>
  <c r="C989" i="11" l="1"/>
  <c r="D989" i="11" s="1"/>
  <c r="E989" i="11" s="1"/>
  <c r="G990" i="11"/>
  <c r="F990" i="11"/>
  <c r="B991" i="11"/>
  <c r="G991" i="11" s="1"/>
  <c r="F991" i="11" l="1"/>
  <c r="B992" i="11"/>
  <c r="G992" i="11" s="1"/>
  <c r="C990" i="11"/>
  <c r="D990" i="11" s="1"/>
  <c r="E990" i="11" s="1"/>
  <c r="F992" i="11" l="1"/>
  <c r="B993" i="11"/>
  <c r="C991" i="11"/>
  <c r="D991" i="11" s="1"/>
  <c r="E991" i="11" s="1"/>
  <c r="C992" i="11" l="1"/>
  <c r="D992" i="11" s="1"/>
  <c r="E992" i="11" s="1"/>
  <c r="G993" i="11"/>
  <c r="F993" i="11"/>
  <c r="B994" i="11"/>
  <c r="C993" i="11" l="1"/>
  <c r="D993" i="11" s="1"/>
  <c r="E993" i="11" s="1"/>
  <c r="G994" i="11"/>
  <c r="F994" i="11"/>
  <c r="B995" i="11"/>
  <c r="G995" i="11" s="1"/>
  <c r="F995" i="11" l="1"/>
  <c r="B996" i="11"/>
  <c r="G996" i="11" s="1"/>
  <c r="C994" i="11"/>
  <c r="D994" i="11" s="1"/>
  <c r="E994" i="11" s="1"/>
  <c r="F996" i="11" l="1"/>
  <c r="B997" i="11"/>
  <c r="G997" i="11" s="1"/>
  <c r="C995" i="11"/>
  <c r="D995" i="11" s="1"/>
  <c r="E995" i="11" s="1"/>
  <c r="F997" i="11" l="1"/>
  <c r="B998" i="11"/>
  <c r="G998" i="11" s="1"/>
  <c r="C996" i="11"/>
  <c r="D996" i="11" s="1"/>
  <c r="E996" i="11" s="1"/>
  <c r="F998" i="11" l="1"/>
  <c r="B999" i="11"/>
  <c r="C997" i="11"/>
  <c r="D997" i="11" s="1"/>
  <c r="E997" i="11" s="1"/>
  <c r="C998" i="11" l="1"/>
  <c r="D998" i="11" s="1"/>
  <c r="E998" i="11" s="1"/>
  <c r="G999" i="11"/>
  <c r="F999" i="11"/>
  <c r="B1000" i="11"/>
  <c r="C999" i="11" l="1"/>
  <c r="D999" i="11" s="1"/>
  <c r="E999" i="11" s="1"/>
  <c r="G1000" i="11"/>
  <c r="F1000" i="11"/>
  <c r="B1001" i="11"/>
  <c r="G1001" i="11" s="1"/>
  <c r="D78" i="14" s="1"/>
  <c r="D79" i="14" s="1"/>
  <c r="F1001" i="11" l="1"/>
  <c r="C1000" i="11"/>
  <c r="D1000" i="11" s="1"/>
  <c r="E1000" i="1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<sst xmlns="http://schemas.openxmlformats.org/spreadsheetml/2006/main" count="224" uniqueCount="118">
  <si>
    <t>Factors</t>
  </si>
  <si>
    <t>Project name</t>
  </si>
  <si>
    <t>New plant for new product</t>
  </si>
  <si>
    <t>Assumptions</t>
  </si>
  <si>
    <t>No riskier than the existing soft drink business</t>
  </si>
  <si>
    <t>Nominal Discount rate</t>
  </si>
  <si>
    <t>Construction costs</t>
  </si>
  <si>
    <t>Total Construction costs</t>
  </si>
  <si>
    <t>Time for constructions (in years)</t>
  </si>
  <si>
    <t>Production will start immediately after conclusion of construction</t>
  </si>
  <si>
    <t>Unitary (estimated) price</t>
  </si>
  <si>
    <t>Unitary production costs</t>
  </si>
  <si>
    <t>Financials</t>
  </si>
  <si>
    <t>Construction costs evenly distributed</t>
  </si>
  <si>
    <t>Generalities</t>
  </si>
  <si>
    <t>Lifetime of the plant (in years)</t>
  </si>
  <si>
    <t>Scrap value of machines</t>
  </si>
  <si>
    <t>Depreciation</t>
  </si>
  <si>
    <t>Corporate tax rate</t>
  </si>
  <si>
    <t>Estimated annual inflation</t>
  </si>
  <si>
    <t>Sales</t>
  </si>
  <si>
    <t>From</t>
  </si>
  <si>
    <t>To</t>
  </si>
  <si>
    <t>In</t>
  </si>
  <si>
    <t>Period</t>
  </si>
  <si>
    <t>Variable production costs</t>
  </si>
  <si>
    <t>Liquidity injections - Working Capital</t>
  </si>
  <si>
    <t>Real Discount Rate</t>
  </si>
  <si>
    <t>Depreciation - Straight line method - Starting from (and including) year 2</t>
  </si>
  <si>
    <t>Start-up investment</t>
  </si>
  <si>
    <t>EBITDA</t>
  </si>
  <si>
    <t>EBIT</t>
  </si>
  <si>
    <t>Taxes</t>
  </si>
  <si>
    <t>Net income</t>
  </si>
  <si>
    <t>Other Cash Flows</t>
  </si>
  <si>
    <t>Working capital additions</t>
  </si>
  <si>
    <t>Total Cash Flows</t>
  </si>
  <si>
    <t>DCF</t>
  </si>
  <si>
    <t>Cum DCF</t>
  </si>
  <si>
    <t>Pro-forma financial statement</t>
  </si>
  <si>
    <t>Deducted Depreciation</t>
  </si>
  <si>
    <t>NPV</t>
  </si>
  <si>
    <t>IRR</t>
  </si>
  <si>
    <t>PI</t>
  </si>
  <si>
    <t>DPP</t>
  </si>
  <si>
    <t>Scrap value of Machines</t>
  </si>
  <si>
    <t>Break Even Analysis</t>
  </si>
  <si>
    <t>Investment</t>
  </si>
  <si>
    <t>Simulation #</t>
  </si>
  <si>
    <t>Variable cost</t>
  </si>
  <si>
    <t>Price</t>
  </si>
  <si>
    <t>Variable Cost</t>
  </si>
  <si>
    <t>Original values of Break Even analysis' target variables</t>
  </si>
  <si>
    <t>Sensititity analysis</t>
  </si>
  <si>
    <t>elements for sensitivity analysis</t>
  </si>
  <si>
    <t>Forecasted Quantities sold</t>
  </si>
  <si>
    <t>Quantities phase 1</t>
  </si>
  <si>
    <t>Quantities phase 2</t>
  </si>
  <si>
    <t>Quantities phase 3</t>
  </si>
  <si>
    <t>Working capital phase 1</t>
  </si>
  <si>
    <t>Working capital phase 2</t>
  </si>
  <si>
    <t>Working capital phase 3</t>
  </si>
  <si>
    <t>Depreciation phase 1</t>
  </si>
  <si>
    <t>Depreciation phase 2</t>
  </si>
  <si>
    <t>Economic boom</t>
  </si>
  <si>
    <t>Economic recession</t>
  </si>
  <si>
    <t>Business as usual</t>
  </si>
  <si>
    <t>scenarios</t>
  </si>
  <si>
    <t>Variables of interest</t>
  </si>
  <si>
    <t>Min</t>
  </si>
  <si>
    <t>Max</t>
  </si>
  <si>
    <t># Iterations</t>
  </si>
  <si>
    <t>Selected uncertain indicators</t>
  </si>
  <si>
    <t>Original</t>
  </si>
  <si>
    <t>Uncertain value</t>
  </si>
  <si>
    <t>Histogram Inputs</t>
  </si>
  <si>
    <t>Rounding</t>
  </si>
  <si>
    <t>Range</t>
  </si>
  <si>
    <t>Rounded Min</t>
  </si>
  <si>
    <t>Rounded Max</t>
  </si>
  <si>
    <t># of Bins</t>
  </si>
  <si>
    <t># bins</t>
  </si>
  <si>
    <t>Rounded Range</t>
  </si>
  <si>
    <t>count</t>
  </si>
  <si>
    <t>Probability</t>
  </si>
  <si>
    <t>cdf</t>
  </si>
  <si>
    <t>neg</t>
  </si>
  <si>
    <t>neg_cum</t>
  </si>
  <si>
    <t>Output statistics</t>
  </si>
  <si>
    <t>Mean</t>
  </si>
  <si>
    <t>Min NPV</t>
  </si>
  <si>
    <t>Max NPV</t>
  </si>
  <si>
    <t>Standard Deviation</t>
  </si>
  <si>
    <t>Max # of Bins</t>
  </si>
  <si>
    <t>Time horizon</t>
  </si>
  <si>
    <t xml:space="preserve">Investment </t>
  </si>
  <si>
    <r>
      <t xml:space="preserve">Project name: </t>
    </r>
    <r>
      <rPr>
        <i/>
        <sz val="18"/>
        <color theme="1"/>
        <rFont val="Calibri"/>
        <family val="2"/>
        <scheme val="minor"/>
      </rPr>
      <t>New production facility</t>
    </r>
  </si>
  <si>
    <t>Discounted Pay Back</t>
  </si>
  <si>
    <t>Profitability Index</t>
  </si>
  <si>
    <t>Break even analysis</t>
  </si>
  <si>
    <t>Scenario analysis</t>
  </si>
  <si>
    <t>Sensitivity analysis</t>
  </si>
  <si>
    <t>Monte Carlo Simulation</t>
  </si>
  <si>
    <t>Inputs</t>
  </si>
  <si>
    <t>% NPV&lt;0</t>
  </si>
  <si>
    <t>% NPV&gt;0</t>
  </si>
  <si>
    <t xml:space="preserve">Original values of Break Even </t>
  </si>
  <si>
    <t>analysis' target variables</t>
  </si>
  <si>
    <t>Time value of money</t>
  </si>
  <si>
    <t>Profitability measures</t>
  </si>
  <si>
    <t>Unitary price</t>
  </si>
  <si>
    <t>Variable Costs</t>
  </si>
  <si>
    <t>Annual inflation</t>
  </si>
  <si>
    <t>Key Highlights</t>
  </si>
  <si>
    <t>Answers</t>
  </si>
  <si>
    <t>a) the base-case scenario (named Business as usual) appears to be profitable. In particular, it shows a positive NPV (precisely 4.6 million €), a Discounted Pay back period of 9, a (Real) Internal Rate of Return of 13%, which is well above the 6% implied by the text, and finally a Profitability index of 46%.
b) In general, the BEA tells us the critical amount of a certain variable for which, holding all other variables constant, the objective of the function (in this case NPV) would be zero. We might interpret the difference between the actual value and the break-even value as our distance to a neutral outcome. In other words, a substantial difference between break-even and actual values would be desirable most of the times. In this specific base-case scenario, for us to have NPV = 0 we might allow for the unitary variable costs to increase by 109%, the price to decrease by 27%, and the investment costs to increase by 57%. All in all, our margins of safety are excellent.
c) The factors I chose to analyse for the sensitivity test are: Real discount rate, Corporate Tax rate, Unitary price, Variable costs, and total construction costs.
From the analysis, it appears that all the factors but the Unitary price negatively affect NPV. An increase in unitary price would increase NPV the most, but also a decrease in the remaining factor would do the job, although to a lesser extent. The opposite % changes (i.e. negative for Price and positive for the others) would decrease NPV. All in all, the factor that can either boost or deteriorate the most NPV is the unitary price.
On the other hand, looking at Profitability Index (PI), the factor that would boost profitability the most is the total construction cost, for which a decrease of 50% would lead to PI = 174%. Vice versa, the factor that would deteriorate the most PI is a decrease in unitary price. What is interesting to notice is the effect of Total construction costs on PI. It has the form of a curve just because in the calculation, construction costs are found also in the denominator (since PI = NPV/Investment).
d) My scenario tool is useful because, first and foremost, is highly flexible and customiseable, and secondly the variables included are those indicative of different macroeconomic scenarios that might affect the economy, and therefore the profitability of its operations and markets altogether.
It shows that in case of an economic recession (with the parameters provided by myself), the DPP would increase by 1, and overall Cash Flows would decrease.
e) The simulation tells us that, according to the parameters and ranges provided, the probability of having an unprofitable project is approximately 30% (thus 70% of being somewhat profitable). Also, it is concerning that the expected value of NPV is less than the Standard deviation of the distribution.</t>
  </si>
  <si>
    <t>Instructions</t>
  </si>
  <si>
    <r>
      <t xml:space="preserve">To start off, cells in </t>
    </r>
    <r>
      <rPr>
        <b/>
        <sz val="14"/>
        <color theme="1"/>
        <rFont val="Calibri"/>
        <family val="2"/>
        <scheme val="minor"/>
      </rPr>
      <t>light green</t>
    </r>
    <r>
      <rPr>
        <sz val="11"/>
        <color theme="1"/>
        <rFont val="Calibri"/>
        <family val="2"/>
        <scheme val="minor"/>
      </rPr>
      <t xml:space="preserve"> are inputs whose values are to be chosen from a validated list, while cells in </t>
    </r>
    <r>
      <rPr>
        <b/>
        <sz val="14"/>
        <color theme="1"/>
        <rFont val="Calibri"/>
        <family val="2"/>
        <scheme val="minor"/>
      </rPr>
      <t>light blue</t>
    </r>
    <r>
      <rPr>
        <sz val="11"/>
        <color theme="1"/>
        <rFont val="Calibri"/>
        <family val="2"/>
        <scheme val="minor"/>
      </rPr>
      <t xml:space="preserve"> present numerical inputs that have to be manually typed in.
Cells in white are not to be touched because they are the result of some calculation.
Inputs can be found in the following sheets:
- Output Report: choice of the scenario and scenario values, choice of the factors for the sensitivity analysis, and the various choices for Monte Carlo simulation
- Inputs: dedicated specifically to those
Finally, for the sake of obtaining a more appealing visual, I kept hidden some sheets used for mere support calculations. If you want to access those, just Unhide the sheets.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</si>
</sst>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0\ &quot;€&quot;;[Red]\-#,##0\ &quot;€&quot;"/>
    <numFmt numFmtId="44" formatCode="_-* #,##0.00\ &quot;€&quot;_-;\-* #,##0.00\ &quot;€&quot;_-;_-* &quot;-&quot;??\ &quot;€&quot;_-;_-@_-"/>
    <numFmt numFmtId="43" formatCode="_-* #,##0.00_-;\-* #,##0.00_-;_-* &quot;-&quot;??_-;_-@_-"/>
    <numFmt numFmtId="164" formatCode="0.0"/>
    <numFmt numFmtId="165" formatCode="0.0%"/>
    <numFmt numFmtId="166" formatCode="0.000%"/>
    <numFmt numFmtId="167" formatCode="#,##0_ ;\-#,##0\ "/>
    <numFmt numFmtId="168" formatCode="_-* #,##0.0\ &quot;€&quot;_-;\-* #,##0.0\ &quot;€&quot;_-;_-* &quot;-&quot;??\ &quot;€&quot;_-;_-@_-"/>
    <numFmt numFmtId="169" formatCode="_-* #,##0\ &quot;€&quot;_-;\-* #,##0\ &quot;€&quot;_-;_-* &quot;-&quot;??\ &quot;€&quot;_-;_-@_-"/>
    <numFmt numFmtId="170" formatCode="_-* #,##0.00\ [$€-410]_-;\-* #,##0.00\ [$€-410]_-;_-* &quot;-&quot;??\ [$€-410]_-;_-@_-"/>
    <numFmt numFmtId="171" formatCode="_-* #,##0_-;\-* #,##0_-;_-* &quot;-&quot;??_-;_-@_-"/>
  </numFmts>
  <fonts count="14" x14ac:knownFonts="1">
    <font>
      <sz val="11"/>
      <color theme="1"/>
      <name val="Calibri"/>
      <family val="2"/>
      <scheme val="minor"/>
    </font>
    <font>
      <sz val="11"/>
      <color theme="1"/>
      <name val="Calibri"/>
      <family val="2"/>
      <scheme val="minor"/>
    </font>
    <font>
      <b/>
      <sz val="11"/>
      <color theme="1"/>
      <name val="Calibri"/>
      <family val="2"/>
      <scheme val="minor"/>
    </font>
    <font>
      <sz val="11"/>
      <color rgb="FF000000"/>
      <name val="Calibri"/>
      <family val="2"/>
    </font>
    <font>
      <b/>
      <sz val="11"/>
      <color theme="1"/>
      <name val="Calibri"/>
      <family val="2"/>
      <charset val="204"/>
      <scheme val="minor"/>
    </font>
    <font>
      <b/>
      <sz val="14"/>
      <color theme="1"/>
      <name val="Calibri"/>
      <family val="2"/>
      <scheme val="minor"/>
    </font>
    <font>
      <b/>
      <sz val="18"/>
      <color theme="1"/>
      <name val="Calibri"/>
      <family val="2"/>
      <scheme val="minor"/>
    </font>
    <font>
      <i/>
      <sz val="18"/>
      <color theme="1"/>
      <name val="Calibri"/>
      <family val="2"/>
      <scheme val="minor"/>
    </font>
    <font>
      <i/>
      <sz val="11"/>
      <color theme="1"/>
      <name val="Calibri"/>
      <family val="2"/>
      <scheme val="minor"/>
    </font>
    <font>
      <sz val="12"/>
      <color theme="1"/>
      <name val="Calibri"/>
      <family val="2"/>
      <scheme val="minor"/>
    </font>
    <font>
      <b/>
      <sz val="12"/>
      <color theme="1"/>
      <name val="Calibri"/>
      <family val="2"/>
      <scheme val="minor"/>
    </font>
    <font>
      <sz val="18"/>
      <color theme="1"/>
      <name val="Calibri"/>
      <family val="2"/>
      <scheme val="minor"/>
    </font>
    <font>
      <sz val="11"/>
      <color theme="0" tint="-4.9989318521683403E-2"/>
      <name val="Calibri"/>
      <family val="2"/>
      <scheme val="minor"/>
    </font>
    <font>
      <sz val="11"/>
      <color theme="5" tint="0.79998168889431442"/>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6"/>
        <bgColor indexed="64"/>
      </patternFill>
    </fill>
    <fill>
      <patternFill patternType="solid">
        <fgColor theme="4" tint="0.59999389629810485"/>
        <bgColor indexed="64"/>
      </patternFill>
    </fill>
    <fill>
      <patternFill patternType="solid">
        <fgColor theme="7" tint="0.59999389629810485"/>
        <bgColor indexed="64"/>
      </patternFill>
    </fill>
  </fills>
  <borders count="24">
    <border>
      <left/>
      <right/>
      <top/>
      <bottom/>
      <diagonal/>
    </border>
    <border>
      <left/>
      <right/>
      <top/>
      <bottom style="double">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right/>
      <top/>
      <bottom style="thin">
        <color indexed="64"/>
      </bottom>
      <diagonal/>
    </border>
    <border>
      <left/>
      <right/>
      <top style="medium">
        <color indexed="64"/>
      </top>
      <bottom style="thin">
        <color indexed="64"/>
      </bottom>
      <diagonal/>
    </border>
    <border>
      <left/>
      <right style="thin">
        <color indexed="64"/>
      </right>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s>
  <cellStyleXfs count="4">
    <xf numFmtId="0" fontId="0" fillId="0" borderId="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cellStyleXfs>
  <cellXfs count="120">
    <xf numFmtId="0" fontId="0" fillId="0" borderId="0" xfId="0"/>
    <xf numFmtId="0" fontId="4" fillId="2" borderId="0" xfId="0" applyFont="1" applyFill="1" applyAlignment="1">
      <alignment horizontal="centerContinuous"/>
    </xf>
    <xf numFmtId="0" fontId="0" fillId="2" borderId="0" xfId="0" applyFill="1" applyAlignment="1">
      <alignment horizontal="centerContinuous"/>
    </xf>
    <xf numFmtId="0" fontId="4" fillId="0" borderId="0" xfId="0" applyFont="1"/>
    <xf numFmtId="9" fontId="0" fillId="3" borderId="0" xfId="0" applyNumberFormat="1" applyFill="1"/>
    <xf numFmtId="164" fontId="0" fillId="0" borderId="0" xfId="0" applyNumberFormat="1"/>
    <xf numFmtId="2" fontId="0" fillId="0" borderId="0" xfId="0" applyNumberFormat="1"/>
    <xf numFmtId="165" fontId="0" fillId="0" borderId="0" xfId="1" applyNumberFormat="1" applyFont="1"/>
    <xf numFmtId="165" fontId="0" fillId="4" borderId="0" xfId="1" applyNumberFormat="1" applyFont="1" applyFill="1"/>
    <xf numFmtId="165" fontId="0" fillId="0" borderId="0" xfId="1" applyNumberFormat="1" applyFont="1" applyFill="1"/>
    <xf numFmtId="9" fontId="0" fillId="0" borderId="0" xfId="0" applyNumberFormat="1"/>
    <xf numFmtId="0" fontId="2" fillId="0" borderId="0" xfId="0" applyFont="1"/>
    <xf numFmtId="166" fontId="0" fillId="0" borderId="0" xfId="1" applyNumberFormat="1" applyFont="1"/>
    <xf numFmtId="6" fontId="0" fillId="0" borderId="0" xfId="0" applyNumberFormat="1"/>
    <xf numFmtId="0" fontId="0" fillId="0" borderId="1" xfId="0" applyBorder="1"/>
    <xf numFmtId="6" fontId="0" fillId="0" borderId="1" xfId="0" applyNumberFormat="1" applyBorder="1"/>
    <xf numFmtId="167" fontId="0" fillId="0" borderId="0" xfId="2" applyNumberFormat="1" applyFont="1"/>
    <xf numFmtId="168" fontId="0" fillId="0" borderId="0" xfId="3" applyNumberFormat="1" applyFont="1"/>
    <xf numFmtId="169" fontId="0" fillId="0" borderId="0" xfId="3" applyNumberFormat="1" applyFont="1"/>
    <xf numFmtId="170" fontId="0" fillId="4" borderId="0" xfId="0" applyNumberFormat="1" applyFill="1" applyAlignment="1">
      <alignment horizontal="left"/>
    </xf>
    <xf numFmtId="9" fontId="0" fillId="3" borderId="0" xfId="0" applyNumberFormat="1" applyFill="1" applyAlignment="1">
      <alignment horizontal="center"/>
    </xf>
    <xf numFmtId="9" fontId="0" fillId="0" borderId="0" xfId="1" applyFont="1"/>
    <xf numFmtId="171" fontId="0" fillId="0" borderId="0" xfId="2" applyNumberFormat="1" applyFont="1"/>
    <xf numFmtId="171" fontId="0" fillId="0" borderId="0" xfId="2" applyNumberFormat="1" applyFont="1" applyAlignment="1">
      <alignment vertical="top"/>
    </xf>
    <xf numFmtId="0" fontId="0" fillId="0" borderId="0" xfId="0" applyAlignment="1">
      <alignment horizontal="center"/>
    </xf>
    <xf numFmtId="0" fontId="0" fillId="0" borderId="0" xfId="2" applyNumberFormat="1" applyFont="1" applyAlignment="1">
      <alignment horizontal="center" vertical="top"/>
    </xf>
    <xf numFmtId="9" fontId="0" fillId="0" borderId="0" xfId="1" applyFont="1" applyAlignment="1">
      <alignment horizontal="center"/>
    </xf>
    <xf numFmtId="169" fontId="2" fillId="0" borderId="0" xfId="3" applyNumberFormat="1" applyFont="1"/>
    <xf numFmtId="0" fontId="0" fillId="0" borderId="2" xfId="0" applyBorder="1"/>
    <xf numFmtId="44" fontId="0" fillId="5" borderId="2" xfId="3" applyFont="1" applyFill="1" applyBorder="1"/>
    <xf numFmtId="165" fontId="0" fillId="5" borderId="2" xfId="1" applyNumberFormat="1" applyFont="1" applyFill="1" applyBorder="1"/>
    <xf numFmtId="171" fontId="0" fillId="5" borderId="2" xfId="2" applyNumberFormat="1" applyFont="1" applyFill="1" applyBorder="1"/>
    <xf numFmtId="0" fontId="2" fillId="0" borderId="2" xfId="0" applyFont="1" applyBorder="1"/>
    <xf numFmtId="0" fontId="0" fillId="5" borderId="2" xfId="0" applyFill="1" applyBorder="1"/>
    <xf numFmtId="0" fontId="0" fillId="6" borderId="2" xfId="0" applyFill="1" applyBorder="1"/>
    <xf numFmtId="0" fontId="0" fillId="6" borderId="3" xfId="0" applyFill="1" applyBorder="1"/>
    <xf numFmtId="168" fontId="0" fillId="5" borderId="2" xfId="3" applyNumberFormat="1" applyFont="1" applyFill="1" applyBorder="1"/>
    <xf numFmtId="169" fontId="0" fillId="5" borderId="2" xfId="3" applyNumberFormat="1" applyFont="1" applyFill="1" applyBorder="1"/>
    <xf numFmtId="9" fontId="0" fillId="5" borderId="2" xfId="0" applyNumberFormat="1" applyFill="1" applyBorder="1"/>
    <xf numFmtId="9" fontId="0" fillId="0" borderId="2" xfId="0" applyNumberFormat="1" applyBorder="1"/>
    <xf numFmtId="169" fontId="0" fillId="0" borderId="2" xfId="3" applyNumberFormat="1" applyFont="1" applyBorder="1"/>
    <xf numFmtId="6" fontId="0" fillId="0" borderId="2" xfId="0" applyNumberFormat="1" applyBorder="1"/>
    <xf numFmtId="166" fontId="0" fillId="0" borderId="2" xfId="1" applyNumberFormat="1" applyFont="1" applyBorder="1"/>
    <xf numFmtId="166" fontId="0" fillId="5" borderId="2" xfId="0" applyNumberFormat="1" applyFill="1" applyBorder="1"/>
    <xf numFmtId="166" fontId="0" fillId="0" borderId="2" xfId="0" applyNumberFormat="1" applyBorder="1"/>
    <xf numFmtId="10" fontId="0" fillId="0" borderId="0" xfId="0" applyNumberFormat="1"/>
    <xf numFmtId="10" fontId="0" fillId="0" borderId="0" xfId="1" applyNumberFormat="1" applyFont="1"/>
    <xf numFmtId="169" fontId="0" fillId="7" borderId="2" xfId="3" applyNumberFormat="1" applyFont="1" applyFill="1" applyBorder="1"/>
    <xf numFmtId="0" fontId="6" fillId="0" borderId="0" xfId="0" applyFont="1"/>
    <xf numFmtId="0" fontId="7" fillId="0" borderId="0" xfId="0" applyFont="1"/>
    <xf numFmtId="44" fontId="0" fillId="0" borderId="0" xfId="3" applyFont="1"/>
    <xf numFmtId="9" fontId="0" fillId="5" borderId="2" xfId="1" applyFont="1" applyFill="1" applyBorder="1" applyAlignment="1">
      <alignment horizontal="center"/>
    </xf>
    <xf numFmtId="168" fontId="0" fillId="5" borderId="6" xfId="3" applyNumberFormat="1" applyFont="1" applyFill="1" applyBorder="1"/>
    <xf numFmtId="44" fontId="0" fillId="0" borderId="0" xfId="3" applyFont="1" applyAlignment="1">
      <alignment horizontal="centerContinuous"/>
    </xf>
    <xf numFmtId="169" fontId="0" fillId="0" borderId="0" xfId="3" applyNumberFormat="1" applyFont="1" applyAlignment="1">
      <alignment horizontal="centerContinuous"/>
    </xf>
    <xf numFmtId="9" fontId="0" fillId="0" borderId="0" xfId="1" applyFont="1" applyFill="1" applyBorder="1" applyAlignment="1">
      <alignment horizontal="center"/>
    </xf>
    <xf numFmtId="0" fontId="0" fillId="0" borderId="0" xfId="1" applyNumberFormat="1" applyFont="1"/>
    <xf numFmtId="10" fontId="0" fillId="0" borderId="0" xfId="1" applyNumberFormat="1" applyFont="1" applyAlignment="1">
      <alignment horizontal="left"/>
    </xf>
    <xf numFmtId="10" fontId="0" fillId="0" borderId="0" xfId="0" applyNumberFormat="1" applyAlignment="1">
      <alignment horizontal="left"/>
    </xf>
    <xf numFmtId="43" fontId="0" fillId="7" borderId="2" xfId="2" applyFont="1" applyFill="1" applyBorder="1"/>
    <xf numFmtId="0" fontId="5" fillId="8" borderId="4" xfId="0" applyFont="1" applyFill="1" applyBorder="1" applyAlignment="1">
      <alignment horizontal="centerContinuous"/>
    </xf>
    <xf numFmtId="0" fontId="0" fillId="8" borderId="7" xfId="0" applyFill="1" applyBorder="1" applyAlignment="1">
      <alignment horizontal="centerContinuous"/>
    </xf>
    <xf numFmtId="0" fontId="0" fillId="8" borderId="5" xfId="0" applyFill="1" applyBorder="1" applyAlignment="1">
      <alignment horizontal="centerContinuous"/>
    </xf>
    <xf numFmtId="0" fontId="10" fillId="9" borderId="8" xfId="0" applyFont="1" applyFill="1" applyBorder="1" applyAlignment="1">
      <alignment horizontal="centerContinuous"/>
    </xf>
    <xf numFmtId="0" fontId="9" fillId="9" borderId="8" xfId="0" applyFont="1" applyFill="1" applyBorder="1" applyAlignment="1">
      <alignment horizontal="centerContinuous"/>
    </xf>
    <xf numFmtId="0" fontId="10" fillId="9" borderId="9" xfId="0" applyFont="1" applyFill="1" applyBorder="1" applyAlignment="1">
      <alignment horizontal="centerContinuous"/>
    </xf>
    <xf numFmtId="0" fontId="9" fillId="9" borderId="9" xfId="0" applyFont="1" applyFill="1" applyBorder="1" applyAlignment="1">
      <alignment horizontal="centerContinuous"/>
    </xf>
    <xf numFmtId="0" fontId="0" fillId="9" borderId="9" xfId="0" applyFill="1" applyBorder="1" applyAlignment="1">
      <alignment horizontal="centerContinuous"/>
    </xf>
    <xf numFmtId="169" fontId="0" fillId="0" borderId="0" xfId="3" applyNumberFormat="1" applyFont="1" applyAlignment="1">
      <alignment horizontal="left" vertical="top"/>
    </xf>
    <xf numFmtId="169" fontId="0" fillId="0" borderId="0" xfId="3" applyNumberFormat="1" applyFont="1" applyAlignment="1"/>
    <xf numFmtId="0" fontId="8" fillId="0" borderId="0" xfId="0" applyFont="1" applyAlignment="1">
      <alignment horizontal="right"/>
    </xf>
    <xf numFmtId="0" fontId="8" fillId="0" borderId="0" xfId="0" applyFont="1" applyAlignment="1">
      <alignment horizontal="left"/>
    </xf>
    <xf numFmtId="0" fontId="2" fillId="0" borderId="0" xfId="0" applyFont="1" applyAlignment="1">
      <alignment horizontal="centerContinuous"/>
    </xf>
    <xf numFmtId="0" fontId="0" fillId="0" borderId="0" xfId="0" applyAlignment="1">
      <alignment horizontal="centerContinuous"/>
    </xf>
    <xf numFmtId="0" fontId="11" fillId="0" borderId="0" xfId="0" applyFont="1"/>
    <xf numFmtId="0" fontId="0" fillId="0" borderId="12" xfId="0" applyBorder="1"/>
    <xf numFmtId="0" fontId="0" fillId="0" borderId="13" xfId="0" applyBorder="1"/>
    <xf numFmtId="0" fontId="2" fillId="0" borderId="14" xfId="0" applyFont="1" applyBorder="1"/>
    <xf numFmtId="0" fontId="0" fillId="0" borderId="15" xfId="0" applyBorder="1" applyAlignment="1">
      <alignment vertical="center"/>
    </xf>
    <xf numFmtId="0" fontId="0" fillId="0" borderId="16" xfId="0" applyBorder="1" applyAlignment="1">
      <alignment vertical="center"/>
    </xf>
    <xf numFmtId="0" fontId="0" fillId="0" borderId="17" xfId="0" applyBorder="1" applyAlignment="1">
      <alignment vertical="center"/>
    </xf>
    <xf numFmtId="0" fontId="2" fillId="10" borderId="8" xfId="0" applyFont="1" applyFill="1" applyBorder="1" applyAlignment="1">
      <alignment horizontal="centerContinuous"/>
    </xf>
    <xf numFmtId="0" fontId="0" fillId="10" borderId="8" xfId="0" applyFill="1" applyBorder="1" applyAlignment="1">
      <alignment horizontal="centerContinuous"/>
    </xf>
    <xf numFmtId="0" fontId="2" fillId="10" borderId="18" xfId="0" applyFont="1" applyFill="1" applyBorder="1" applyAlignment="1">
      <alignment horizontal="centerContinuous"/>
    </xf>
    <xf numFmtId="0" fontId="0" fillId="10" borderId="18" xfId="0" applyFill="1" applyBorder="1" applyAlignment="1">
      <alignment horizontal="centerContinuous"/>
    </xf>
    <xf numFmtId="6" fontId="0" fillId="0" borderId="10" xfId="0" applyNumberFormat="1" applyBorder="1"/>
    <xf numFmtId="6" fontId="0" fillId="0" borderId="11" xfId="0" applyNumberFormat="1" applyBorder="1"/>
    <xf numFmtId="6" fontId="0" fillId="0" borderId="8" xfId="0" applyNumberFormat="1" applyBorder="1"/>
    <xf numFmtId="6" fontId="0" fillId="0" borderId="18" xfId="0" applyNumberFormat="1" applyBorder="1"/>
    <xf numFmtId="6" fontId="0" fillId="0" borderId="6" xfId="0" applyNumberFormat="1" applyBorder="1"/>
    <xf numFmtId="9" fontId="0" fillId="0" borderId="13" xfId="0" applyNumberFormat="1" applyBorder="1"/>
    <xf numFmtId="2" fontId="0" fillId="0" borderId="13" xfId="0" applyNumberFormat="1" applyBorder="1"/>
    <xf numFmtId="167" fontId="0" fillId="0" borderId="14" xfId="2" applyNumberFormat="1" applyFont="1" applyBorder="1"/>
    <xf numFmtId="0" fontId="2" fillId="10" borderId="3" xfId="0" applyFont="1" applyFill="1" applyBorder="1" applyAlignment="1">
      <alignment horizontal="centerContinuous"/>
    </xf>
    <xf numFmtId="0" fontId="0" fillId="10" borderId="19" xfId="0" applyFill="1" applyBorder="1" applyAlignment="1">
      <alignment horizontal="centerContinuous"/>
    </xf>
    <xf numFmtId="6" fontId="0" fillId="0" borderId="21" xfId="0" applyNumberFormat="1" applyBorder="1"/>
    <xf numFmtId="6" fontId="0" fillId="0" borderId="22" xfId="0" applyNumberFormat="1" applyBorder="1"/>
    <xf numFmtId="6" fontId="0" fillId="0" borderId="23" xfId="0" applyNumberFormat="1" applyBorder="1"/>
    <xf numFmtId="0" fontId="2" fillId="0" borderId="20" xfId="0" applyFont="1" applyBorder="1"/>
    <xf numFmtId="0" fontId="2" fillId="0" borderId="6" xfId="0" applyFont="1" applyBorder="1"/>
    <xf numFmtId="0" fontId="8" fillId="0" borderId="6" xfId="0" applyFont="1" applyBorder="1"/>
    <xf numFmtId="0" fontId="8" fillId="0" borderId="13" xfId="0" applyFont="1" applyBorder="1"/>
    <xf numFmtId="0" fontId="8" fillId="0" borderId="14" xfId="0" applyFont="1" applyBorder="1"/>
    <xf numFmtId="169" fontId="0" fillId="0" borderId="0" xfId="3" applyNumberFormat="1" applyFont="1" applyAlignment="1">
      <alignment horizontal="right"/>
    </xf>
    <xf numFmtId="0" fontId="0" fillId="0" borderId="0" xfId="0" applyAlignment="1">
      <alignment horizontal="right"/>
    </xf>
    <xf numFmtId="9" fontId="0" fillId="0" borderId="0" xfId="1" applyFont="1" applyAlignment="1">
      <alignment horizontal="right"/>
    </xf>
    <xf numFmtId="44" fontId="12" fillId="0" borderId="0" xfId="3" applyFont="1" applyFill="1" applyBorder="1"/>
    <xf numFmtId="0" fontId="12" fillId="0" borderId="0" xfId="3" applyNumberFormat="1" applyFont="1" applyFill="1" applyBorder="1"/>
    <xf numFmtId="0" fontId="12" fillId="0" borderId="0" xfId="1" applyNumberFormat="1" applyFont="1" applyFill="1" applyBorder="1"/>
    <xf numFmtId="0" fontId="12" fillId="0" borderId="0" xfId="2" applyNumberFormat="1" applyFont="1" applyFill="1" applyBorder="1"/>
    <xf numFmtId="171" fontId="12" fillId="0" borderId="0" xfId="2" applyNumberFormat="1" applyFont="1" applyFill="1" applyBorder="1"/>
    <xf numFmtId="0" fontId="13" fillId="6" borderId="19" xfId="0" applyFont="1" applyFill="1" applyBorder="1" applyAlignment="1">
      <alignment horizontal="centerContinuous"/>
    </xf>
    <xf numFmtId="0" fontId="13" fillId="6" borderId="18" xfId="0" applyFont="1" applyFill="1" applyBorder="1" applyAlignment="1">
      <alignment horizontal="centerContinuous"/>
    </xf>
    <xf numFmtId="0" fontId="0" fillId="6" borderId="3" xfId="0" applyFill="1" applyBorder="1" applyAlignment="1">
      <alignment horizontal="centerContinuous"/>
    </xf>
    <xf numFmtId="10" fontId="2" fillId="0" borderId="0" xfId="1" applyNumberFormat="1" applyFont="1"/>
    <xf numFmtId="44" fontId="0" fillId="0" borderId="0" xfId="0" applyNumberFormat="1"/>
    <xf numFmtId="0" fontId="0" fillId="0" borderId="2" xfId="0" applyBorder="1" applyAlignment="1">
      <alignment horizontal="left" vertical="top" wrapText="1"/>
    </xf>
    <xf numFmtId="0" fontId="5" fillId="8" borderId="4" xfId="0" applyFont="1" applyFill="1" applyBorder="1" applyAlignment="1">
      <alignment horizontal="center"/>
    </xf>
    <xf numFmtId="0" fontId="5" fillId="8" borderId="5" xfId="0" applyFont="1" applyFill="1" applyBorder="1" applyAlignment="1">
      <alignment horizontal="center"/>
    </xf>
    <xf numFmtId="0" fontId="5" fillId="8" borderId="7" xfId="0" applyFont="1" applyFill="1" applyBorder="1" applyAlignment="1">
      <alignment horizontal="center"/>
    </xf>
  </cellXfs>
  <cellStyles count="4">
    <cellStyle name="Comma" xfId="2" builtinId="3"/>
    <cellStyle name="Currency" xfId="3" builtinId="4"/>
    <cellStyle name="Normal" xfId="0" builtinId="0"/>
    <cellStyle name="Percent" xfId="1" builtinId="5"/>
  </cellStyles>
  <dxfs count="0"/>
  <tableStyles count="0" defaultTableStyle="TableStyleMedium2" defaultPivotStyle="PivotStyleLight16"/>
  <colors>
    <mruColors>
      <color rgb="FFFA74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GB">
                <a:solidFill>
                  <a:schemeClr val="tx1"/>
                </a:solidFill>
              </a:rPr>
              <a:t>Actual</a:t>
            </a:r>
            <a:r>
              <a:rPr lang="en-GB" baseline="0">
                <a:solidFill>
                  <a:schemeClr val="tx1"/>
                </a:solidFill>
              </a:rPr>
              <a:t> vs Discounted Cash flows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1500013773665332"/>
          <c:y val="0.12261722254750038"/>
          <c:w val="0.86028718817146599"/>
          <c:h val="0.8292117257374102"/>
        </c:manualLayout>
      </c:layout>
      <c:barChart>
        <c:barDir val="col"/>
        <c:grouping val="clustered"/>
        <c:varyColors val="0"/>
        <c:ser>
          <c:idx val="0"/>
          <c:order val="0"/>
          <c:tx>
            <c:strRef>
              <c:f>Model!$A$15</c:f>
              <c:strCache>
                <c:ptCount val="1"/>
                <c:pt idx="0">
                  <c:v>Total Cash Flows</c:v>
                </c:pt>
              </c:strCache>
            </c:strRef>
          </c:tx>
          <c:spPr>
            <a:solidFill>
              <a:schemeClr val="accent1"/>
            </a:solidFill>
            <a:ln>
              <a:noFill/>
            </a:ln>
            <a:effectLst/>
          </c:spPr>
          <c:invertIfNegative val="0"/>
          <c:cat>
            <c:numRef>
              <c:f>[0]!years</c:f>
              <c:numCache>
                <c:formatCode>General</c:formatCode>
                <c:ptCount val="15"/>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numCache>
            </c:numRef>
          </c:cat>
          <c:val>
            <c:numRef>
              <c:f>Model!$B$15:$P$15</c:f>
              <c:numCache>
                <c:formatCode>"€"#,##0_);[Red]\("€"#,##0\)</c:formatCode>
                <c:ptCount val="15"/>
                <c:pt idx="0">
                  <c:v>-5000000</c:v>
                </c:pt>
                <c:pt idx="1">
                  <c:v>-5000000</c:v>
                </c:pt>
                <c:pt idx="2">
                  <c:v>1403846.153846154</c:v>
                </c:pt>
                <c:pt idx="3">
                  <c:v>1403846.153846154</c:v>
                </c:pt>
                <c:pt idx="4">
                  <c:v>1403846.153846154</c:v>
                </c:pt>
                <c:pt idx="5">
                  <c:v>2003846.1538461538</c:v>
                </c:pt>
                <c:pt idx="6">
                  <c:v>2003846.1538461538</c:v>
                </c:pt>
                <c:pt idx="7">
                  <c:v>1953846.1538461538</c:v>
                </c:pt>
                <c:pt idx="8">
                  <c:v>1953846.1538461538</c:v>
                </c:pt>
                <c:pt idx="9">
                  <c:v>1903846.1538461538</c:v>
                </c:pt>
                <c:pt idx="10">
                  <c:v>1903846.1538461538</c:v>
                </c:pt>
                <c:pt idx="11">
                  <c:v>1903846.1538461538</c:v>
                </c:pt>
                <c:pt idx="12">
                  <c:v>1903846.1538461538</c:v>
                </c:pt>
                <c:pt idx="13">
                  <c:v>1903846.1538461538</c:v>
                </c:pt>
                <c:pt idx="14">
                  <c:v>769230.76923076995</c:v>
                </c:pt>
              </c:numCache>
            </c:numRef>
          </c:val>
          <c:extLst>
            <c:ext xmlns:c16="http://schemas.microsoft.com/office/drawing/2014/chart" uri="{C3380CC4-5D6E-409C-BE32-E72D297353CC}">
              <c16:uniqueId val="{00000000-8B0D-4FD9-A8E8-C750375059D0}"/>
            </c:ext>
          </c:extLst>
        </c:ser>
        <c:ser>
          <c:idx val="1"/>
          <c:order val="1"/>
          <c:tx>
            <c:strRef>
              <c:f>Model!$A$17</c:f>
              <c:strCache>
                <c:ptCount val="1"/>
                <c:pt idx="0">
                  <c:v>DCF</c:v>
                </c:pt>
              </c:strCache>
            </c:strRef>
          </c:tx>
          <c:spPr>
            <a:solidFill>
              <a:schemeClr val="accent3"/>
            </a:solidFill>
            <a:ln>
              <a:noFill/>
            </a:ln>
            <a:effectLst/>
          </c:spPr>
          <c:invertIfNegative val="0"/>
          <c:cat>
            <c:numRef>
              <c:f>[0]!years</c:f>
              <c:numCache>
                <c:formatCode>General</c:formatCode>
                <c:ptCount val="15"/>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numCache>
            </c:numRef>
          </c:cat>
          <c:val>
            <c:numRef>
              <c:f>Model!$B$17:$P$17</c:f>
              <c:numCache>
                <c:formatCode>"€"#,##0_);[Red]\("€"#,##0\)</c:formatCode>
                <c:ptCount val="15"/>
                <c:pt idx="0">
                  <c:v>-5000000</c:v>
                </c:pt>
                <c:pt idx="1">
                  <c:v>-4716981.1320754718</c:v>
                </c:pt>
                <c:pt idx="2">
                  <c:v>1249418.0792507599</c:v>
                </c:pt>
                <c:pt idx="3">
                  <c:v>1178696.301179962</c:v>
                </c:pt>
                <c:pt idx="4">
                  <c:v>1111977.6426226057</c:v>
                </c:pt>
                <c:pt idx="5">
                  <c:v>1497390.4156277524</c:v>
                </c:pt>
                <c:pt idx="6">
                  <c:v>1412632.4675733512</c:v>
                </c:pt>
                <c:pt idx="7">
                  <c:v>1299419.2835390258</c:v>
                </c:pt>
                <c:pt idx="8">
                  <c:v>1225867.2486217225</c:v>
                </c:pt>
                <c:pt idx="9">
                  <c:v>1126883.6132590859</c:v>
                </c:pt>
                <c:pt idx="10">
                  <c:v>1063097.7483576282</c:v>
                </c:pt>
                <c:pt idx="11">
                  <c:v>1002922.4041109699</c:v>
                </c:pt>
                <c:pt idx="12">
                  <c:v>946153.21142544318</c:v>
                </c:pt>
                <c:pt idx="13">
                  <c:v>892597.36926928593</c:v>
                </c:pt>
                <c:pt idx="14">
                  <c:v>340231.51106128714</c:v>
                </c:pt>
              </c:numCache>
            </c:numRef>
          </c:val>
          <c:extLst>
            <c:ext xmlns:c16="http://schemas.microsoft.com/office/drawing/2014/chart" uri="{C3380CC4-5D6E-409C-BE32-E72D297353CC}">
              <c16:uniqueId val="{00000001-8B0D-4FD9-A8E8-C750375059D0}"/>
            </c:ext>
          </c:extLst>
        </c:ser>
        <c:dLbls>
          <c:showLegendKey val="0"/>
          <c:showVal val="0"/>
          <c:showCatName val="0"/>
          <c:showSerName val="0"/>
          <c:showPercent val="0"/>
          <c:showBubbleSize val="0"/>
        </c:dLbls>
        <c:gapWidth val="37"/>
        <c:overlap val="100"/>
        <c:axId val="681038368"/>
        <c:axId val="681035872"/>
      </c:barChart>
      <c:lineChart>
        <c:grouping val="standard"/>
        <c:varyColors val="0"/>
        <c:ser>
          <c:idx val="2"/>
          <c:order val="2"/>
          <c:tx>
            <c:strRef>
              <c:f>Model!$A$18</c:f>
              <c:strCache>
                <c:ptCount val="1"/>
                <c:pt idx="0">
                  <c:v>Cum DCF</c:v>
                </c:pt>
              </c:strCache>
            </c:strRef>
          </c:tx>
          <c:spPr>
            <a:ln w="28575" cap="rnd">
              <a:solidFill>
                <a:schemeClr val="accent5"/>
              </a:solidFill>
              <a:round/>
            </a:ln>
            <a:effectLst/>
          </c:spPr>
          <c:marker>
            <c:symbol val="circle"/>
            <c:size val="5"/>
            <c:spPr>
              <a:solidFill>
                <a:schemeClr val="accent5"/>
              </a:solidFill>
              <a:ln w="9525">
                <a:solidFill>
                  <a:schemeClr val="tx1"/>
                </a:solidFill>
              </a:ln>
              <a:effectLst/>
            </c:spPr>
          </c:marker>
          <c:cat>
            <c:numRef>
              <c:f>[0]!years</c:f>
              <c:numCache>
                <c:formatCode>General</c:formatCode>
                <c:ptCount val="15"/>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numCache>
            </c:numRef>
          </c:cat>
          <c:val>
            <c:numRef>
              <c:f>Model!$B$18:$P$18</c:f>
              <c:numCache>
                <c:formatCode>"€"#,##0_);[Red]\("€"#,##0\)</c:formatCode>
                <c:ptCount val="15"/>
                <c:pt idx="0">
                  <c:v>-5000000</c:v>
                </c:pt>
                <c:pt idx="1">
                  <c:v>-9716981.1320754718</c:v>
                </c:pt>
                <c:pt idx="2">
                  <c:v>-8467563.0528247114</c:v>
                </c:pt>
                <c:pt idx="3">
                  <c:v>-7288866.7516447492</c:v>
                </c:pt>
                <c:pt idx="4">
                  <c:v>-6176889.1090221433</c:v>
                </c:pt>
                <c:pt idx="5">
                  <c:v>-4679498.6933943909</c:v>
                </c:pt>
                <c:pt idx="6">
                  <c:v>-3266866.2258210396</c:v>
                </c:pt>
                <c:pt idx="7">
                  <c:v>-1967446.9422820138</c:v>
                </c:pt>
                <c:pt idx="8">
                  <c:v>-741579.69366029138</c:v>
                </c:pt>
                <c:pt idx="9">
                  <c:v>385303.91959879454</c:v>
                </c:pt>
                <c:pt idx="10">
                  <c:v>1448401.6679564228</c:v>
                </c:pt>
                <c:pt idx="11">
                  <c:v>2451324.0720673925</c:v>
                </c:pt>
                <c:pt idx="12">
                  <c:v>3397477.2834928357</c:v>
                </c:pt>
                <c:pt idx="13">
                  <c:v>4290074.6527621215</c:v>
                </c:pt>
                <c:pt idx="14">
                  <c:v>4630306.163823409</c:v>
                </c:pt>
              </c:numCache>
            </c:numRef>
          </c:val>
          <c:smooth val="0"/>
          <c:extLst>
            <c:ext xmlns:c16="http://schemas.microsoft.com/office/drawing/2014/chart" uri="{C3380CC4-5D6E-409C-BE32-E72D297353CC}">
              <c16:uniqueId val="{00000002-8B0D-4FD9-A8E8-C750375059D0}"/>
            </c:ext>
          </c:extLst>
        </c:ser>
        <c:dLbls>
          <c:showLegendKey val="0"/>
          <c:showVal val="0"/>
          <c:showCatName val="0"/>
          <c:showSerName val="0"/>
          <c:showPercent val="0"/>
          <c:showBubbleSize val="0"/>
        </c:dLbls>
        <c:marker val="1"/>
        <c:smooth val="0"/>
        <c:axId val="681038368"/>
        <c:axId val="681035872"/>
      </c:lineChart>
      <c:catAx>
        <c:axId val="681038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81035872"/>
        <c:crosses val="autoZero"/>
        <c:auto val="1"/>
        <c:lblAlgn val="ctr"/>
        <c:lblOffset val="100"/>
        <c:noMultiLvlLbl val="0"/>
      </c:catAx>
      <c:valAx>
        <c:axId val="681035872"/>
        <c:scaling>
          <c:orientation val="minMax"/>
        </c:scaling>
        <c:delete val="0"/>
        <c:axPos val="l"/>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681038368"/>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r"/>
      <c:layout>
        <c:manualLayout>
          <c:xMode val="edge"/>
          <c:yMode val="edge"/>
          <c:x val="0.79119832420167413"/>
          <c:y val="0.74472667873110665"/>
          <c:w val="0.19509153221927017"/>
          <c:h val="0.2191854237954453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sensitivity!$C$1</c:f>
          <c:strCache>
            <c:ptCount val="1"/>
            <c:pt idx="0">
              <c:v>NPV</c:v>
            </c:pt>
          </c:strCache>
        </c:strRef>
      </c:tx>
      <c:layout>
        <c:manualLayout>
          <c:xMode val="edge"/>
          <c:yMode val="edge"/>
          <c:x val="0.39719517848864161"/>
          <c:y val="2.773307050511396E-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title>
    <c:autoTitleDeleted val="0"/>
    <c:plotArea>
      <c:layout>
        <c:manualLayout>
          <c:layoutTarget val="inner"/>
          <c:xMode val="edge"/>
          <c:yMode val="edge"/>
          <c:x val="7.2289816345974839E-2"/>
          <c:y val="0.1162153689122193"/>
          <c:w val="0.91787478234205422"/>
          <c:h val="0.77219889180519097"/>
        </c:manualLayout>
      </c:layout>
      <c:lineChart>
        <c:grouping val="standard"/>
        <c:varyColors val="0"/>
        <c:ser>
          <c:idx val="1"/>
          <c:order val="0"/>
          <c:tx>
            <c:strRef>
              <c:f>'Output Report'!$A$36</c:f>
              <c:strCache>
                <c:ptCount val="1"/>
                <c:pt idx="0">
                  <c:v>Real Discount Rate</c:v>
                </c:pt>
              </c:strCache>
            </c:strRef>
          </c:tx>
          <c:spPr>
            <a:ln w="28575" cap="rnd" cmpd="sng" algn="ctr">
              <a:solidFill>
                <a:schemeClr val="accent3"/>
              </a:solidFill>
              <a:prstDash val="solid"/>
              <a:round/>
            </a:ln>
            <a:effectLst/>
          </c:spPr>
          <c:marker>
            <c:symbol val="circle"/>
            <c:size val="5"/>
            <c:spPr>
              <a:solidFill>
                <a:schemeClr val="accent3"/>
              </a:solidFill>
              <a:ln w="9525" cap="rnd" cmpd="sng" algn="ctr">
                <a:solidFill>
                  <a:schemeClr val="accent3"/>
                </a:solidFill>
                <a:prstDash val="solid"/>
                <a:round/>
              </a:ln>
              <a:effectLst/>
            </c:spPr>
          </c:marker>
          <c:cat>
            <c:numRef>
              <c:f>sensitivity!$C$2:$M$2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sensitivity!$C$3:$M$3</c:f>
              <c:numCache>
                <c:formatCode>0.0</c:formatCode>
                <c:ptCount val="11"/>
                <c:pt idx="0">
                  <c:v>7930129.7434743028</c:v>
                </c:pt>
                <c:pt idx="1">
                  <c:v>7188552.1228884105</c:v>
                </c:pt>
                <c:pt idx="2">
                  <c:v>6490636.0859037023</c:v>
                </c:pt>
                <c:pt idx="3">
                  <c:v>5833415.3752557691</c:v>
                </c:pt>
                <c:pt idx="4">
                  <c:v>5214149.763072107</c:v>
                </c:pt>
                <c:pt idx="5" formatCode="_-* #,##0.00\ [$€-410]_-;\-* #,##0.00\ [$€-410]_-;_-* &quot;-&quot;??\ [$€-410]_-;_-@_-">
                  <c:v>4630306.163823409</c:v>
                </c:pt>
                <c:pt idx="6">
                  <c:v>4079541.4520820975</c:v>
                </c:pt>
                <c:pt idx="7">
                  <c:v>3559686.8205749933</c:v>
                </c:pt>
                <c:pt idx="8">
                  <c:v>3068733.530862187</c:v>
                </c:pt>
                <c:pt idx="9">
                  <c:v>2604819.9239995684</c:v>
                </c:pt>
                <c:pt idx="10">
                  <c:v>2166219.5719545921</c:v>
                </c:pt>
              </c:numCache>
            </c:numRef>
          </c:val>
          <c:smooth val="0"/>
          <c:extLst>
            <c:ext xmlns:c16="http://schemas.microsoft.com/office/drawing/2014/chart" uri="{C3380CC4-5D6E-409C-BE32-E72D297353CC}">
              <c16:uniqueId val="{00000000-9C5B-4DFF-81C6-0AAE80690A70}"/>
            </c:ext>
          </c:extLst>
        </c:ser>
        <c:ser>
          <c:idx val="3"/>
          <c:order val="1"/>
          <c:tx>
            <c:strRef>
              <c:f>'Output Report'!$A$37</c:f>
              <c:strCache>
                <c:ptCount val="1"/>
                <c:pt idx="0">
                  <c:v>Corporate tax rate</c:v>
                </c:pt>
              </c:strCache>
            </c:strRef>
          </c:tx>
          <c:spPr>
            <a:ln w="28575" cap="rnd" cmpd="sng" algn="ctr">
              <a:solidFill>
                <a:schemeClr val="accent1">
                  <a:lumMod val="60000"/>
                </a:schemeClr>
              </a:solidFill>
              <a:prstDash val="solid"/>
              <a:round/>
            </a:ln>
            <a:effectLst/>
          </c:spPr>
          <c:marker>
            <c:symbol val="circle"/>
            <c:size val="5"/>
            <c:spPr>
              <a:solidFill>
                <a:schemeClr val="accent1">
                  <a:lumMod val="60000"/>
                </a:schemeClr>
              </a:solidFill>
              <a:ln w="9525" cap="rnd" cmpd="sng" algn="ctr">
                <a:solidFill>
                  <a:schemeClr val="accent1">
                    <a:lumMod val="60000"/>
                  </a:schemeClr>
                </a:solidFill>
                <a:prstDash val="solid"/>
                <a:round/>
              </a:ln>
              <a:effectLst/>
            </c:spPr>
          </c:marker>
          <c:cat>
            <c:numRef>
              <c:f>sensitivity!$C$2:$M$2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sensitivity!$C$4:$M$4</c:f>
              <c:numCache>
                <c:formatCode>0.0</c:formatCode>
                <c:ptCount val="11"/>
                <c:pt idx="0">
                  <c:v>5612360.8034832645</c:v>
                </c:pt>
                <c:pt idx="1">
                  <c:v>5415949.8755512927</c:v>
                </c:pt>
                <c:pt idx="2">
                  <c:v>5219538.9476193208</c:v>
                </c:pt>
                <c:pt idx="3">
                  <c:v>5023128.0196873527</c:v>
                </c:pt>
                <c:pt idx="4">
                  <c:v>4826717.0917553809</c:v>
                </c:pt>
                <c:pt idx="5" formatCode="_-* #,##0.00\ [$€-410]_-;\-* #,##0.00\ [$€-410]_-;_-* &quot;-&quot;??\ [$€-410]_-;_-@_-">
                  <c:v>4630306.163823409</c:v>
                </c:pt>
                <c:pt idx="6">
                  <c:v>4433895.235891439</c:v>
                </c:pt>
                <c:pt idx="7">
                  <c:v>4237484.3079594672</c:v>
                </c:pt>
                <c:pt idx="8">
                  <c:v>4041073.380027499</c:v>
                </c:pt>
                <c:pt idx="9">
                  <c:v>3844662.4520955272</c:v>
                </c:pt>
                <c:pt idx="10">
                  <c:v>3648251.5241635554</c:v>
                </c:pt>
              </c:numCache>
            </c:numRef>
          </c:val>
          <c:smooth val="0"/>
          <c:extLst>
            <c:ext xmlns:c16="http://schemas.microsoft.com/office/drawing/2014/chart" uri="{C3380CC4-5D6E-409C-BE32-E72D297353CC}">
              <c16:uniqueId val="{00000001-9C5B-4DFF-81C6-0AAE80690A70}"/>
            </c:ext>
          </c:extLst>
        </c:ser>
        <c:ser>
          <c:idx val="4"/>
          <c:order val="2"/>
          <c:tx>
            <c:strRef>
              <c:f>'Output Report'!$A$38</c:f>
              <c:strCache>
                <c:ptCount val="1"/>
                <c:pt idx="0">
                  <c:v>Unitary price</c:v>
                </c:pt>
              </c:strCache>
            </c:strRef>
          </c:tx>
          <c:spPr>
            <a:ln w="28575" cap="rnd" cmpd="sng" algn="ctr">
              <a:solidFill>
                <a:schemeClr val="accent3">
                  <a:lumMod val="60000"/>
                </a:schemeClr>
              </a:solidFill>
              <a:prstDash val="solid"/>
              <a:round/>
            </a:ln>
            <a:effectLst/>
          </c:spPr>
          <c:marker>
            <c:symbol val="circle"/>
            <c:size val="5"/>
            <c:spPr>
              <a:solidFill>
                <a:schemeClr val="accent3">
                  <a:lumMod val="60000"/>
                </a:schemeClr>
              </a:solidFill>
              <a:ln w="9525" cap="rnd" cmpd="sng" algn="ctr">
                <a:solidFill>
                  <a:schemeClr val="accent3">
                    <a:lumMod val="60000"/>
                  </a:schemeClr>
                </a:solidFill>
                <a:prstDash val="solid"/>
                <a:round/>
              </a:ln>
              <a:effectLst/>
            </c:spPr>
          </c:marker>
          <c:cat>
            <c:numRef>
              <c:f>sensitivity!$C$2:$M$2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sensitivity!$C$5:$M$5</c:f>
              <c:numCache>
                <c:formatCode>0.0</c:formatCode>
                <c:ptCount val="11"/>
                <c:pt idx="0">
                  <c:v>-3852154.16511558</c:v>
                </c:pt>
                <c:pt idx="1">
                  <c:v>-2155662.0993277831</c:v>
                </c:pt>
                <c:pt idx="2">
                  <c:v>-459170.03353998624</c:v>
                </c:pt>
                <c:pt idx="3">
                  <c:v>1237322.0322478106</c:v>
                </c:pt>
                <c:pt idx="4">
                  <c:v>2933814.0980356084</c:v>
                </c:pt>
                <c:pt idx="5" formatCode="_-* #,##0.00\ [$€-410]_-;\-* #,##0.00\ [$€-410]_-;_-* &quot;-&quot;??\ [$€-410]_-;_-@_-">
                  <c:v>4630306.163823409</c:v>
                </c:pt>
                <c:pt idx="6">
                  <c:v>6326798.2296112012</c:v>
                </c:pt>
                <c:pt idx="7">
                  <c:v>8023290.2953990009</c:v>
                </c:pt>
                <c:pt idx="8">
                  <c:v>9719782.3611867949</c:v>
                </c:pt>
                <c:pt idx="9">
                  <c:v>11416274.426974598</c:v>
                </c:pt>
                <c:pt idx="10">
                  <c:v>13112766.492762398</c:v>
                </c:pt>
              </c:numCache>
            </c:numRef>
          </c:val>
          <c:smooth val="0"/>
          <c:extLst>
            <c:ext xmlns:c16="http://schemas.microsoft.com/office/drawing/2014/chart" uri="{C3380CC4-5D6E-409C-BE32-E72D297353CC}">
              <c16:uniqueId val="{00000002-9C5B-4DFF-81C6-0AAE80690A70}"/>
            </c:ext>
          </c:extLst>
        </c:ser>
        <c:ser>
          <c:idx val="5"/>
          <c:order val="3"/>
          <c:tx>
            <c:strRef>
              <c:f>'Output Report'!$A$39</c:f>
              <c:strCache>
                <c:ptCount val="1"/>
                <c:pt idx="0">
                  <c:v>Variable Costs</c:v>
                </c:pt>
              </c:strCache>
            </c:strRef>
          </c:tx>
          <c:spPr>
            <a:ln w="28575" cap="rnd" cmpd="sng" algn="ctr">
              <a:solidFill>
                <a:schemeClr val="accent5">
                  <a:lumMod val="60000"/>
                </a:schemeClr>
              </a:solidFill>
              <a:prstDash val="solid"/>
              <a:round/>
            </a:ln>
            <a:effectLst/>
          </c:spPr>
          <c:marker>
            <c:symbol val="circle"/>
            <c:size val="5"/>
            <c:spPr>
              <a:solidFill>
                <a:schemeClr val="accent5">
                  <a:lumMod val="60000"/>
                </a:schemeClr>
              </a:solidFill>
              <a:ln w="9525" cap="rnd" cmpd="sng" algn="ctr">
                <a:solidFill>
                  <a:schemeClr val="accent5">
                    <a:lumMod val="60000"/>
                  </a:schemeClr>
                </a:solidFill>
                <a:prstDash val="solid"/>
                <a:round/>
              </a:ln>
              <a:effectLst/>
            </c:spPr>
          </c:marker>
          <c:cat>
            <c:numRef>
              <c:f>sensitivity!$C$2:$M$2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sensitivity!$C$6:$M$6</c:f>
              <c:numCache>
                <c:formatCode>0.0</c:formatCode>
                <c:ptCount val="11"/>
                <c:pt idx="0">
                  <c:v>6750921.2460581567</c:v>
                </c:pt>
                <c:pt idx="1">
                  <c:v>6326798.2296112087</c:v>
                </c:pt>
                <c:pt idx="2">
                  <c:v>5902675.213164255</c:v>
                </c:pt>
                <c:pt idx="3">
                  <c:v>5478552.1967173107</c:v>
                </c:pt>
                <c:pt idx="4">
                  <c:v>5054429.1802703552</c:v>
                </c:pt>
                <c:pt idx="5" formatCode="_-* #,##0.00\ [$€-410]_-;\-* #,##0.00\ [$€-410]_-;_-* &quot;-&quot;??\ [$€-410]_-;_-@_-">
                  <c:v>4630306.163823409</c:v>
                </c:pt>
                <c:pt idx="6">
                  <c:v>4206183.147376461</c:v>
                </c:pt>
                <c:pt idx="7">
                  <c:v>3782060.130929511</c:v>
                </c:pt>
                <c:pt idx="8">
                  <c:v>3357937.1144825621</c:v>
                </c:pt>
                <c:pt idx="9">
                  <c:v>2933814.0980356121</c:v>
                </c:pt>
                <c:pt idx="10">
                  <c:v>2509691.0815886641</c:v>
                </c:pt>
              </c:numCache>
            </c:numRef>
          </c:val>
          <c:smooth val="0"/>
          <c:extLst>
            <c:ext xmlns:c16="http://schemas.microsoft.com/office/drawing/2014/chart" uri="{C3380CC4-5D6E-409C-BE32-E72D297353CC}">
              <c16:uniqueId val="{00000003-9C5B-4DFF-81C6-0AAE80690A70}"/>
            </c:ext>
          </c:extLst>
        </c:ser>
        <c:ser>
          <c:idx val="6"/>
          <c:order val="4"/>
          <c:tx>
            <c:strRef>
              <c:f>'Output Report'!$A$40</c:f>
              <c:strCache>
                <c:ptCount val="1"/>
                <c:pt idx="0">
                  <c:v>Total Construction costs</c:v>
                </c:pt>
              </c:strCache>
            </c:strRef>
          </c:tx>
          <c:spPr>
            <a:ln w="28575" cap="rnd" cmpd="sng" algn="ctr">
              <a:solidFill>
                <a:schemeClr val="accent1">
                  <a:lumMod val="80000"/>
                  <a:lumOff val="20000"/>
                </a:schemeClr>
              </a:solidFill>
              <a:prstDash val="solid"/>
              <a:round/>
            </a:ln>
            <a:effectLst/>
          </c:spPr>
          <c:marker>
            <c:symbol val="circle"/>
            <c:size val="5"/>
            <c:spPr>
              <a:solidFill>
                <a:schemeClr val="accent1">
                  <a:lumMod val="80000"/>
                  <a:lumOff val="20000"/>
                </a:schemeClr>
              </a:solidFill>
              <a:ln w="9525" cap="rnd" cmpd="sng" algn="ctr">
                <a:solidFill>
                  <a:schemeClr val="accent1">
                    <a:lumMod val="80000"/>
                    <a:lumOff val="20000"/>
                  </a:schemeClr>
                </a:solidFill>
                <a:prstDash val="solid"/>
                <a:round/>
              </a:ln>
              <a:effectLst/>
            </c:spPr>
          </c:marker>
          <c:dPt>
            <c:idx val="5"/>
            <c:bubble3D val="0"/>
            <c:extLst>
              <c:ext xmlns:c16="http://schemas.microsoft.com/office/drawing/2014/chart" uri="{C3380CC4-5D6E-409C-BE32-E72D297353CC}">
                <c16:uniqueId val="{00000004-9C5B-4DFF-81C6-0AAE80690A70}"/>
              </c:ext>
            </c:extLst>
          </c:dPt>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C5B-4DFF-81C6-0AAE80690A70}"/>
                </c:ext>
              </c:extLst>
            </c:dLbl>
            <c:numFmt formatCode="#,##0.0" sourceLinked="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cat>
            <c:numRef>
              <c:f>sensitivity!$C$2:$M$2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sensitivity!$C$7:$M$7</c:f>
              <c:numCache>
                <c:formatCode>0.0</c:formatCode>
                <c:ptCount val="11"/>
                <c:pt idx="0">
                  <c:v>8710274.3023142964</c:v>
                </c:pt>
                <c:pt idx="1">
                  <c:v>7894280.6746161226</c:v>
                </c:pt>
                <c:pt idx="2">
                  <c:v>7078287.0469179433</c:v>
                </c:pt>
                <c:pt idx="3">
                  <c:v>6262293.4192197677</c:v>
                </c:pt>
                <c:pt idx="4">
                  <c:v>5446299.7915215902</c:v>
                </c:pt>
                <c:pt idx="5" formatCode="_-* #,##0.00\ [$€-410]_-;\-* #,##0.00\ [$€-410]_-;_-* &quot;-&quot;??\ [$€-410]_-;_-@_-">
                  <c:v>4630306.163823409</c:v>
                </c:pt>
                <c:pt idx="6">
                  <c:v>3814312.5361252353</c:v>
                </c:pt>
                <c:pt idx="7">
                  <c:v>2998318.908427055</c:v>
                </c:pt>
                <c:pt idx="8">
                  <c:v>2182325.2807288794</c:v>
                </c:pt>
                <c:pt idx="9">
                  <c:v>1366331.653030701</c:v>
                </c:pt>
                <c:pt idx="10">
                  <c:v>550338.02533252165</c:v>
                </c:pt>
              </c:numCache>
            </c:numRef>
          </c:val>
          <c:smooth val="0"/>
          <c:extLst>
            <c:ext xmlns:c16="http://schemas.microsoft.com/office/drawing/2014/chart" uri="{C3380CC4-5D6E-409C-BE32-E72D297353CC}">
              <c16:uniqueId val="{00000005-9C5B-4DFF-81C6-0AAE80690A70}"/>
            </c:ext>
          </c:extLst>
        </c:ser>
        <c:dLbls>
          <c:showLegendKey val="0"/>
          <c:showVal val="0"/>
          <c:showCatName val="0"/>
          <c:showSerName val="0"/>
          <c:showPercent val="0"/>
          <c:showBubbleSize val="0"/>
        </c:dLbls>
        <c:marker val="1"/>
        <c:smooth val="0"/>
        <c:axId val="267769344"/>
        <c:axId val="267770520"/>
      </c:lineChart>
      <c:catAx>
        <c:axId val="267769344"/>
        <c:scaling>
          <c:orientation val="minMax"/>
        </c:scaling>
        <c:delete val="0"/>
        <c:axPos val="b"/>
        <c:numFmt formatCode="0%" sourceLinked="1"/>
        <c:majorTickMark val="out"/>
        <c:minorTickMark val="none"/>
        <c:tickLblPos val="nextTo"/>
        <c:spPr>
          <a:noFill/>
          <a:ln w="9525" cap="rnd" cmpd="sng" algn="ctr">
            <a:solidFill>
              <a:schemeClr val="tx1">
                <a:tint val="7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267770520"/>
        <c:crossesAt val="-100000000"/>
        <c:auto val="1"/>
        <c:lblAlgn val="ctr"/>
        <c:lblOffset val="100"/>
        <c:noMultiLvlLbl val="0"/>
      </c:catAx>
      <c:valAx>
        <c:axId val="267770520"/>
        <c:scaling>
          <c:orientation val="minMax"/>
        </c:scaling>
        <c:delete val="0"/>
        <c:axPos val="l"/>
        <c:numFmt formatCode="0" sourceLinked="0"/>
        <c:majorTickMark val="out"/>
        <c:minorTickMark val="none"/>
        <c:tickLblPos val="nextTo"/>
        <c:spPr>
          <a:noFill/>
          <a:ln w="9525" cap="rnd" cmpd="sng" algn="ctr">
            <a:solidFill>
              <a:schemeClr val="tx1">
                <a:tint val="7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267769344"/>
        <c:crosses val="autoZero"/>
        <c:crossBetween val="between"/>
      </c:valAx>
      <c:spPr>
        <a:solidFill>
          <a:schemeClr val="bg1"/>
        </a:solidFill>
        <a:ln>
          <a:noFill/>
        </a:ln>
        <a:effectLst/>
      </c:spPr>
    </c:plotArea>
    <c:legend>
      <c:legendPos val="r"/>
      <c:layout>
        <c:manualLayout>
          <c:xMode val="edge"/>
          <c:yMode val="edge"/>
          <c:x val="0.41036015317278662"/>
          <c:y val="0.59570015921324826"/>
          <c:w val="0.44269928706755884"/>
          <c:h val="0.28406315097820478"/>
        </c:manualLayout>
      </c:layout>
      <c:overlay val="0"/>
      <c:spPr>
        <a:solidFill>
          <a:schemeClr val="bg1">
            <a:alpha val="50000"/>
          </a:schemeClr>
        </a:solid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rnd"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sensitivity!$O$1</c:f>
          <c:strCache>
            <c:ptCount val="1"/>
            <c:pt idx="0">
              <c:v>PI</c:v>
            </c:pt>
          </c:strCache>
        </c:strRef>
      </c:tx>
      <c:layout>
        <c:manualLayout>
          <c:xMode val="edge"/>
          <c:yMode val="edge"/>
          <c:x val="0.41489911987705291"/>
          <c:y val="2.7777777777777776E-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title>
    <c:autoTitleDeleted val="0"/>
    <c:plotArea>
      <c:layout>
        <c:manualLayout>
          <c:layoutTarget val="inner"/>
          <c:xMode val="edge"/>
          <c:yMode val="edge"/>
          <c:x val="5.8381610504528378E-2"/>
          <c:y val="0.13936351706036745"/>
          <c:w val="0.93641905679731618"/>
          <c:h val="0.74905074365704283"/>
        </c:manualLayout>
      </c:layout>
      <c:lineChart>
        <c:grouping val="standard"/>
        <c:varyColors val="0"/>
        <c:ser>
          <c:idx val="1"/>
          <c:order val="0"/>
          <c:tx>
            <c:strRef>
              <c:f>'Output Report'!$A$36</c:f>
              <c:strCache>
                <c:ptCount val="1"/>
                <c:pt idx="0">
                  <c:v>Real Discount Rate</c:v>
                </c:pt>
              </c:strCache>
            </c:strRef>
          </c:tx>
          <c:spPr>
            <a:ln w="28575" cap="rnd" cmpd="sng" algn="ctr">
              <a:solidFill>
                <a:schemeClr val="accent3"/>
              </a:solidFill>
              <a:prstDash val="solid"/>
              <a:round/>
            </a:ln>
            <a:effectLst/>
          </c:spPr>
          <c:marker>
            <c:symbol val="circle"/>
            <c:size val="5"/>
            <c:spPr>
              <a:solidFill>
                <a:schemeClr val="accent3"/>
              </a:solidFill>
              <a:ln w="9525" cap="rnd" cmpd="sng" algn="ctr">
                <a:solidFill>
                  <a:schemeClr val="accent3"/>
                </a:solidFill>
                <a:prstDash val="solid"/>
                <a:round/>
              </a:ln>
              <a:effectLst/>
            </c:spPr>
          </c:marker>
          <c:cat>
            <c:numRef>
              <c:f>sensitivity!$O$2:$Y$2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sensitivity!$O$3:$Y$3</c:f>
              <c:numCache>
                <c:formatCode>0.0%</c:formatCode>
                <c:ptCount val="11"/>
                <c:pt idx="0">
                  <c:v>0.79301297434743023</c:v>
                </c:pt>
                <c:pt idx="1">
                  <c:v>0.71885521228884108</c:v>
                </c:pt>
                <c:pt idx="2">
                  <c:v>0.64906360859037027</c:v>
                </c:pt>
                <c:pt idx="3">
                  <c:v>0.58334153752557694</c:v>
                </c:pt>
                <c:pt idx="4">
                  <c:v>0.52141497630721068</c:v>
                </c:pt>
                <c:pt idx="5">
                  <c:v>0.46303061638234089</c:v>
                </c:pt>
                <c:pt idx="6">
                  <c:v>0.40795414520820977</c:v>
                </c:pt>
                <c:pt idx="7">
                  <c:v>0.35596868205749932</c:v>
                </c:pt>
                <c:pt idx="8">
                  <c:v>0.30687335308621871</c:v>
                </c:pt>
                <c:pt idx="9">
                  <c:v>0.26048199239995684</c:v>
                </c:pt>
                <c:pt idx="10">
                  <c:v>0.21662195719545921</c:v>
                </c:pt>
              </c:numCache>
            </c:numRef>
          </c:val>
          <c:smooth val="0"/>
          <c:extLst>
            <c:ext xmlns:c16="http://schemas.microsoft.com/office/drawing/2014/chart" uri="{C3380CC4-5D6E-409C-BE32-E72D297353CC}">
              <c16:uniqueId val="{00000000-F754-4784-98D4-21B050CF226F}"/>
            </c:ext>
          </c:extLst>
        </c:ser>
        <c:ser>
          <c:idx val="3"/>
          <c:order val="1"/>
          <c:tx>
            <c:strRef>
              <c:f>'Output Report'!$A$37</c:f>
              <c:strCache>
                <c:ptCount val="1"/>
                <c:pt idx="0">
                  <c:v>Corporate tax rate</c:v>
                </c:pt>
              </c:strCache>
            </c:strRef>
          </c:tx>
          <c:spPr>
            <a:ln w="28575" cap="rnd" cmpd="sng" algn="ctr">
              <a:solidFill>
                <a:schemeClr val="accent1">
                  <a:lumMod val="60000"/>
                </a:schemeClr>
              </a:solidFill>
              <a:prstDash val="solid"/>
              <a:round/>
            </a:ln>
            <a:effectLst/>
          </c:spPr>
          <c:marker>
            <c:symbol val="circle"/>
            <c:size val="5"/>
            <c:spPr>
              <a:solidFill>
                <a:schemeClr val="accent1">
                  <a:lumMod val="60000"/>
                </a:schemeClr>
              </a:solidFill>
              <a:ln w="9525" cap="rnd" cmpd="sng" algn="ctr">
                <a:solidFill>
                  <a:schemeClr val="accent1">
                    <a:lumMod val="60000"/>
                  </a:schemeClr>
                </a:solidFill>
                <a:prstDash val="solid"/>
                <a:round/>
              </a:ln>
              <a:effectLst/>
            </c:spPr>
          </c:marker>
          <c:cat>
            <c:numRef>
              <c:f>sensitivity!$O$2:$Y$2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sensitivity!$O$4:$Y$4</c:f>
              <c:numCache>
                <c:formatCode>0.0%</c:formatCode>
                <c:ptCount val="11"/>
                <c:pt idx="0">
                  <c:v>0.5612360803483265</c:v>
                </c:pt>
                <c:pt idx="1">
                  <c:v>0.54159498755512925</c:v>
                </c:pt>
                <c:pt idx="2">
                  <c:v>0.5219538947619321</c:v>
                </c:pt>
                <c:pt idx="3">
                  <c:v>0.50231280196873529</c:v>
                </c:pt>
                <c:pt idx="4">
                  <c:v>0.48267170917553809</c:v>
                </c:pt>
                <c:pt idx="5">
                  <c:v>0.46303061638234089</c:v>
                </c:pt>
                <c:pt idx="6">
                  <c:v>0.44338952358914391</c:v>
                </c:pt>
                <c:pt idx="7">
                  <c:v>0.42374843079594671</c:v>
                </c:pt>
                <c:pt idx="8">
                  <c:v>0.40410733800274989</c:v>
                </c:pt>
                <c:pt idx="9">
                  <c:v>0.38446624520955269</c:v>
                </c:pt>
                <c:pt idx="10">
                  <c:v>0.36482515241635555</c:v>
                </c:pt>
              </c:numCache>
            </c:numRef>
          </c:val>
          <c:smooth val="0"/>
          <c:extLst>
            <c:ext xmlns:c16="http://schemas.microsoft.com/office/drawing/2014/chart" uri="{C3380CC4-5D6E-409C-BE32-E72D297353CC}">
              <c16:uniqueId val="{00000001-F754-4784-98D4-21B050CF226F}"/>
            </c:ext>
          </c:extLst>
        </c:ser>
        <c:ser>
          <c:idx val="4"/>
          <c:order val="2"/>
          <c:tx>
            <c:strRef>
              <c:f>'Output Report'!$A$38</c:f>
              <c:strCache>
                <c:ptCount val="1"/>
                <c:pt idx="0">
                  <c:v>Unitary price</c:v>
                </c:pt>
              </c:strCache>
            </c:strRef>
          </c:tx>
          <c:spPr>
            <a:ln w="28575" cap="rnd" cmpd="sng" algn="ctr">
              <a:solidFill>
                <a:schemeClr val="accent3">
                  <a:lumMod val="60000"/>
                </a:schemeClr>
              </a:solidFill>
              <a:prstDash val="solid"/>
              <a:round/>
            </a:ln>
            <a:effectLst/>
          </c:spPr>
          <c:marker>
            <c:symbol val="circle"/>
            <c:size val="5"/>
            <c:spPr>
              <a:solidFill>
                <a:schemeClr val="accent3">
                  <a:lumMod val="60000"/>
                </a:schemeClr>
              </a:solidFill>
              <a:ln w="9525" cap="rnd" cmpd="sng" algn="ctr">
                <a:solidFill>
                  <a:schemeClr val="accent3">
                    <a:lumMod val="60000"/>
                  </a:schemeClr>
                </a:solidFill>
                <a:prstDash val="solid"/>
                <a:round/>
              </a:ln>
              <a:effectLst/>
            </c:spPr>
          </c:marker>
          <c:cat>
            <c:numRef>
              <c:f>sensitivity!$O$2:$Y$2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sensitivity!$O$5:$Y$5</c:f>
              <c:numCache>
                <c:formatCode>0.0%</c:formatCode>
                <c:ptCount val="11"/>
                <c:pt idx="0">
                  <c:v>-0.385215416511558</c:v>
                </c:pt>
                <c:pt idx="1">
                  <c:v>-0.21556620993277831</c:v>
                </c:pt>
                <c:pt idx="2">
                  <c:v>-4.5917003353998627E-2</c:v>
                </c:pt>
                <c:pt idx="3">
                  <c:v>0.12373220322478107</c:v>
                </c:pt>
                <c:pt idx="4">
                  <c:v>0.29338140980356087</c:v>
                </c:pt>
                <c:pt idx="5">
                  <c:v>0.46303061638234089</c:v>
                </c:pt>
                <c:pt idx="6">
                  <c:v>0.63267982296112013</c:v>
                </c:pt>
                <c:pt idx="7">
                  <c:v>0.80232902953990004</c:v>
                </c:pt>
                <c:pt idx="8">
                  <c:v>0.97197823611867951</c:v>
                </c:pt>
                <c:pt idx="9">
                  <c:v>1.1416274426974597</c:v>
                </c:pt>
                <c:pt idx="10">
                  <c:v>1.3112766492762398</c:v>
                </c:pt>
              </c:numCache>
            </c:numRef>
          </c:val>
          <c:smooth val="0"/>
          <c:extLst>
            <c:ext xmlns:c16="http://schemas.microsoft.com/office/drawing/2014/chart" uri="{C3380CC4-5D6E-409C-BE32-E72D297353CC}">
              <c16:uniqueId val="{00000002-F754-4784-98D4-21B050CF226F}"/>
            </c:ext>
          </c:extLst>
        </c:ser>
        <c:ser>
          <c:idx val="5"/>
          <c:order val="3"/>
          <c:tx>
            <c:strRef>
              <c:f>'Output Report'!$A$39</c:f>
              <c:strCache>
                <c:ptCount val="1"/>
                <c:pt idx="0">
                  <c:v>Variable Costs</c:v>
                </c:pt>
              </c:strCache>
            </c:strRef>
          </c:tx>
          <c:spPr>
            <a:ln w="28575" cap="rnd" cmpd="sng" algn="ctr">
              <a:solidFill>
                <a:schemeClr val="accent5">
                  <a:lumMod val="60000"/>
                </a:schemeClr>
              </a:solidFill>
              <a:prstDash val="solid"/>
              <a:round/>
            </a:ln>
            <a:effectLst/>
          </c:spPr>
          <c:marker>
            <c:symbol val="circle"/>
            <c:size val="5"/>
            <c:spPr>
              <a:solidFill>
                <a:schemeClr val="accent5">
                  <a:lumMod val="60000"/>
                </a:schemeClr>
              </a:solidFill>
              <a:ln w="9525" cap="rnd" cmpd="sng" algn="ctr">
                <a:solidFill>
                  <a:schemeClr val="accent5">
                    <a:lumMod val="60000"/>
                  </a:schemeClr>
                </a:solidFill>
                <a:prstDash val="solid"/>
                <a:round/>
              </a:ln>
              <a:effectLst/>
            </c:spPr>
          </c:marker>
          <c:cat>
            <c:numRef>
              <c:f>sensitivity!$O$2:$Y$2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sensitivity!$O$6:$Y$6</c:f>
              <c:numCache>
                <c:formatCode>0.0%</c:formatCode>
                <c:ptCount val="11"/>
                <c:pt idx="0">
                  <c:v>0.67509212460581569</c:v>
                </c:pt>
                <c:pt idx="1">
                  <c:v>0.63267982296112091</c:v>
                </c:pt>
                <c:pt idx="2">
                  <c:v>0.59026752131642546</c:v>
                </c:pt>
                <c:pt idx="3">
                  <c:v>0.54785521967173112</c:v>
                </c:pt>
                <c:pt idx="4">
                  <c:v>0.50544291802703556</c:v>
                </c:pt>
                <c:pt idx="5">
                  <c:v>0.46303061638234089</c:v>
                </c:pt>
                <c:pt idx="6">
                  <c:v>0.4206183147376461</c:v>
                </c:pt>
                <c:pt idx="7">
                  <c:v>0.3782060130929511</c:v>
                </c:pt>
                <c:pt idx="8">
                  <c:v>0.3357937114482562</c:v>
                </c:pt>
                <c:pt idx="9">
                  <c:v>0.2933814098035612</c:v>
                </c:pt>
                <c:pt idx="10">
                  <c:v>0.25096910815886642</c:v>
                </c:pt>
              </c:numCache>
            </c:numRef>
          </c:val>
          <c:smooth val="0"/>
          <c:extLst>
            <c:ext xmlns:c16="http://schemas.microsoft.com/office/drawing/2014/chart" uri="{C3380CC4-5D6E-409C-BE32-E72D297353CC}">
              <c16:uniqueId val="{00000003-F754-4784-98D4-21B050CF226F}"/>
            </c:ext>
          </c:extLst>
        </c:ser>
        <c:ser>
          <c:idx val="6"/>
          <c:order val="4"/>
          <c:tx>
            <c:strRef>
              <c:f>'Output Report'!$A$40</c:f>
              <c:strCache>
                <c:ptCount val="1"/>
                <c:pt idx="0">
                  <c:v>Total Construction costs</c:v>
                </c:pt>
              </c:strCache>
            </c:strRef>
          </c:tx>
          <c:spPr>
            <a:ln w="28575" cap="rnd" cmpd="sng" algn="ctr">
              <a:solidFill>
                <a:schemeClr val="accent1">
                  <a:lumMod val="80000"/>
                  <a:lumOff val="20000"/>
                </a:schemeClr>
              </a:solidFill>
              <a:prstDash val="solid"/>
              <a:round/>
            </a:ln>
            <a:effectLst/>
          </c:spPr>
          <c:marker>
            <c:symbol val="circle"/>
            <c:size val="5"/>
            <c:spPr>
              <a:solidFill>
                <a:schemeClr val="accent1">
                  <a:lumMod val="80000"/>
                  <a:lumOff val="20000"/>
                </a:schemeClr>
              </a:solidFill>
              <a:ln w="9525" cap="rnd" cmpd="sng" algn="ctr">
                <a:solidFill>
                  <a:schemeClr val="accent1">
                    <a:lumMod val="80000"/>
                    <a:lumOff val="20000"/>
                  </a:schemeClr>
                </a:solidFill>
                <a:prstDash val="solid"/>
                <a:round/>
              </a:ln>
              <a:effectLst/>
            </c:spPr>
          </c:marker>
          <c:dPt>
            <c:idx val="5"/>
            <c:bubble3D val="0"/>
            <c:extLst>
              <c:ext xmlns:c16="http://schemas.microsoft.com/office/drawing/2014/chart" uri="{C3380CC4-5D6E-409C-BE32-E72D297353CC}">
                <c16:uniqueId val="{00000004-F754-4784-98D4-21B050CF226F}"/>
              </c:ext>
            </c:extLst>
          </c:dPt>
          <c:dLbls>
            <c:dLbl>
              <c:idx val="5"/>
              <c:layout>
                <c:manualLayout>
                  <c:x val="-4.655781031543519E-2"/>
                  <c:y val="-6.528944298629338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754-4784-98D4-21B050CF226F}"/>
                </c:ext>
              </c:extLst>
            </c:dLbl>
            <c:numFmt formatCode="0.0%" sourceLinked="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cat>
            <c:numRef>
              <c:f>sensitivity!$O$2:$Y$2</c:f>
              <c:numCache>
                <c:formatCode>0%</c:formatCode>
                <c:ptCount val="11"/>
                <c:pt idx="0">
                  <c:v>-0.5</c:v>
                </c:pt>
                <c:pt idx="1">
                  <c:v>-0.4</c:v>
                </c:pt>
                <c:pt idx="2">
                  <c:v>-0.3</c:v>
                </c:pt>
                <c:pt idx="3">
                  <c:v>-0.2</c:v>
                </c:pt>
                <c:pt idx="4">
                  <c:v>-0.1</c:v>
                </c:pt>
                <c:pt idx="5">
                  <c:v>0</c:v>
                </c:pt>
                <c:pt idx="6">
                  <c:v>0.1</c:v>
                </c:pt>
                <c:pt idx="7">
                  <c:v>0.2</c:v>
                </c:pt>
                <c:pt idx="8">
                  <c:v>0.3</c:v>
                </c:pt>
                <c:pt idx="9">
                  <c:v>0.4</c:v>
                </c:pt>
                <c:pt idx="10">
                  <c:v>0.5</c:v>
                </c:pt>
              </c:numCache>
            </c:numRef>
          </c:cat>
          <c:val>
            <c:numRef>
              <c:f>sensitivity!$O$7:$Y$7</c:f>
              <c:numCache>
                <c:formatCode>0.0%</c:formatCode>
                <c:ptCount val="11"/>
                <c:pt idx="0">
                  <c:v>1.7420548604628598</c:v>
                </c:pt>
                <c:pt idx="1">
                  <c:v>1.3157134457693545</c:v>
                </c:pt>
                <c:pt idx="2">
                  <c:v>1.0111838638454209</c:v>
                </c:pt>
                <c:pt idx="3">
                  <c:v>0.78278667740247121</c:v>
                </c:pt>
                <c:pt idx="4">
                  <c:v>0.60514442128017698</c:v>
                </c:pt>
                <c:pt idx="5">
                  <c:v>0.46303061638234089</c:v>
                </c:pt>
                <c:pt idx="6">
                  <c:v>0.34675568510229421</c:v>
                </c:pt>
                <c:pt idx="7">
                  <c:v>0.24985990903558797</c:v>
                </c:pt>
                <c:pt idx="8">
                  <c:v>0.16787117544068306</c:v>
                </c:pt>
                <c:pt idx="9">
                  <c:v>9.7595118073621492E-2</c:v>
                </c:pt>
                <c:pt idx="10">
                  <c:v>3.6689201688834779E-2</c:v>
                </c:pt>
              </c:numCache>
            </c:numRef>
          </c:val>
          <c:smooth val="0"/>
          <c:extLst>
            <c:ext xmlns:c16="http://schemas.microsoft.com/office/drawing/2014/chart" uri="{C3380CC4-5D6E-409C-BE32-E72D297353CC}">
              <c16:uniqueId val="{00000005-F754-4784-98D4-21B050CF226F}"/>
            </c:ext>
          </c:extLst>
        </c:ser>
        <c:dLbls>
          <c:showLegendKey val="0"/>
          <c:showVal val="0"/>
          <c:showCatName val="0"/>
          <c:showSerName val="0"/>
          <c:showPercent val="0"/>
          <c:showBubbleSize val="0"/>
        </c:dLbls>
        <c:marker val="1"/>
        <c:smooth val="0"/>
        <c:axId val="267771304"/>
        <c:axId val="267771696"/>
      </c:lineChart>
      <c:catAx>
        <c:axId val="267771304"/>
        <c:scaling>
          <c:orientation val="minMax"/>
        </c:scaling>
        <c:delete val="0"/>
        <c:axPos val="b"/>
        <c:numFmt formatCode="0%" sourceLinked="1"/>
        <c:majorTickMark val="out"/>
        <c:minorTickMark val="none"/>
        <c:tickLblPos val="nextTo"/>
        <c:spPr>
          <a:noFill/>
          <a:ln w="9525" cap="rnd" cmpd="sng" algn="ctr">
            <a:solidFill>
              <a:schemeClr val="tx1">
                <a:tint val="7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267771696"/>
        <c:crossesAt val="-100000000"/>
        <c:auto val="1"/>
        <c:lblAlgn val="ctr"/>
        <c:lblOffset val="100"/>
        <c:noMultiLvlLbl val="0"/>
      </c:catAx>
      <c:valAx>
        <c:axId val="267771696"/>
        <c:scaling>
          <c:orientation val="minMax"/>
        </c:scaling>
        <c:delete val="0"/>
        <c:axPos val="l"/>
        <c:numFmt formatCode="0%" sourceLinked="0"/>
        <c:majorTickMark val="out"/>
        <c:minorTickMark val="none"/>
        <c:tickLblPos val="nextTo"/>
        <c:spPr>
          <a:noFill/>
          <a:ln w="9525" cap="rnd" cmpd="sng" algn="ctr">
            <a:solidFill>
              <a:schemeClr val="tx1">
                <a:tint val="7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267771304"/>
        <c:crosses val="autoZero"/>
        <c:crossBetween val="between"/>
      </c:valAx>
      <c:spPr>
        <a:solidFill>
          <a:schemeClr val="bg1"/>
        </a:solidFill>
        <a:ln>
          <a:noFill/>
        </a:ln>
        <a:effectLst/>
      </c:spPr>
    </c:plotArea>
    <c:legend>
      <c:legendPos val="r"/>
      <c:layout>
        <c:manualLayout>
          <c:xMode val="edge"/>
          <c:yMode val="edge"/>
          <c:x val="0.51905514249848483"/>
          <c:y val="4.024319884757991E-2"/>
          <c:w val="0.45751189133347203"/>
          <c:h val="0.2467140565762613"/>
        </c:manualLayout>
      </c:layout>
      <c:overlay val="0"/>
      <c:spPr>
        <a:solidFill>
          <a:schemeClr val="bg1">
            <a:alpha val="50000"/>
          </a:schemeClr>
        </a:solid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rnd"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fi-FI" b="1">
                <a:solidFill>
                  <a:schemeClr val="tx1"/>
                </a:solidFill>
              </a:rPr>
              <a:t>Probability distribution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MC_hist!$D$1</c:f>
              <c:strCache>
                <c:ptCount val="1"/>
                <c:pt idx="0">
                  <c:v>Probability</c:v>
                </c:pt>
              </c:strCache>
            </c:strRef>
          </c:tx>
          <c:spPr>
            <a:solidFill>
              <a:schemeClr val="accent6"/>
            </a:solidFill>
            <a:ln>
              <a:noFill/>
            </a:ln>
            <a:effectLst/>
          </c:spPr>
          <c:invertIfNegative val="0"/>
          <c:cat>
            <c:numRef>
              <c:f>[0]!range_prob</c:f>
              <c:numCache>
                <c:formatCode>General</c:formatCode>
                <c:ptCount val="101"/>
                <c:pt idx="0">
                  <c:v>-10000000</c:v>
                </c:pt>
                <c:pt idx="1">
                  <c:v>-9700000</c:v>
                </c:pt>
                <c:pt idx="2">
                  <c:v>-9400000</c:v>
                </c:pt>
                <c:pt idx="3">
                  <c:v>-9100000</c:v>
                </c:pt>
                <c:pt idx="4">
                  <c:v>-8800000</c:v>
                </c:pt>
                <c:pt idx="5">
                  <c:v>-8500000</c:v>
                </c:pt>
                <c:pt idx="6">
                  <c:v>-8200000</c:v>
                </c:pt>
                <c:pt idx="7">
                  <c:v>-7900000</c:v>
                </c:pt>
                <c:pt idx="8">
                  <c:v>-7600000</c:v>
                </c:pt>
                <c:pt idx="9">
                  <c:v>-7300000</c:v>
                </c:pt>
                <c:pt idx="10">
                  <c:v>-7000000</c:v>
                </c:pt>
                <c:pt idx="11">
                  <c:v>-6700000</c:v>
                </c:pt>
                <c:pt idx="12">
                  <c:v>-6400000</c:v>
                </c:pt>
                <c:pt idx="13">
                  <c:v>-6100000</c:v>
                </c:pt>
                <c:pt idx="14">
                  <c:v>-5800000</c:v>
                </c:pt>
                <c:pt idx="15">
                  <c:v>-5500000</c:v>
                </c:pt>
                <c:pt idx="16">
                  <c:v>-5200000</c:v>
                </c:pt>
                <c:pt idx="17">
                  <c:v>-4900000</c:v>
                </c:pt>
                <c:pt idx="18">
                  <c:v>-4600000</c:v>
                </c:pt>
                <c:pt idx="19">
                  <c:v>-4300000</c:v>
                </c:pt>
                <c:pt idx="20">
                  <c:v>-4000000</c:v>
                </c:pt>
                <c:pt idx="21">
                  <c:v>-3700000</c:v>
                </c:pt>
                <c:pt idx="22">
                  <c:v>-3400000</c:v>
                </c:pt>
                <c:pt idx="23">
                  <c:v>-3100000</c:v>
                </c:pt>
                <c:pt idx="24">
                  <c:v>-2800000</c:v>
                </c:pt>
                <c:pt idx="25">
                  <c:v>-2500000</c:v>
                </c:pt>
                <c:pt idx="26">
                  <c:v>-2200000</c:v>
                </c:pt>
                <c:pt idx="27">
                  <c:v>-1900000</c:v>
                </c:pt>
                <c:pt idx="28">
                  <c:v>-1600000</c:v>
                </c:pt>
                <c:pt idx="29">
                  <c:v>-1300000</c:v>
                </c:pt>
                <c:pt idx="30">
                  <c:v>-1000000</c:v>
                </c:pt>
                <c:pt idx="31">
                  <c:v>-700000</c:v>
                </c:pt>
                <c:pt idx="32">
                  <c:v>-400000</c:v>
                </c:pt>
                <c:pt idx="33">
                  <c:v>-100000</c:v>
                </c:pt>
                <c:pt idx="34">
                  <c:v>200000</c:v>
                </c:pt>
                <c:pt idx="35">
                  <c:v>500000</c:v>
                </c:pt>
                <c:pt idx="36">
                  <c:v>800000</c:v>
                </c:pt>
                <c:pt idx="37">
                  <c:v>1100000</c:v>
                </c:pt>
                <c:pt idx="38">
                  <c:v>1400000</c:v>
                </c:pt>
                <c:pt idx="39">
                  <c:v>1700000</c:v>
                </c:pt>
                <c:pt idx="40">
                  <c:v>2000000</c:v>
                </c:pt>
                <c:pt idx="41">
                  <c:v>2300000</c:v>
                </c:pt>
                <c:pt idx="42">
                  <c:v>2600000</c:v>
                </c:pt>
                <c:pt idx="43">
                  <c:v>2900000</c:v>
                </c:pt>
                <c:pt idx="44">
                  <c:v>3200000</c:v>
                </c:pt>
                <c:pt idx="45">
                  <c:v>3500000</c:v>
                </c:pt>
                <c:pt idx="46">
                  <c:v>3800000</c:v>
                </c:pt>
                <c:pt idx="47">
                  <c:v>4100000</c:v>
                </c:pt>
                <c:pt idx="48">
                  <c:v>4400000</c:v>
                </c:pt>
                <c:pt idx="49">
                  <c:v>4700000</c:v>
                </c:pt>
                <c:pt idx="50">
                  <c:v>5000000</c:v>
                </c:pt>
                <c:pt idx="51">
                  <c:v>5300000</c:v>
                </c:pt>
                <c:pt idx="52">
                  <c:v>5600000</c:v>
                </c:pt>
                <c:pt idx="53">
                  <c:v>5900000</c:v>
                </c:pt>
                <c:pt idx="54">
                  <c:v>6200000</c:v>
                </c:pt>
                <c:pt idx="55">
                  <c:v>6500000</c:v>
                </c:pt>
                <c:pt idx="56">
                  <c:v>6800000</c:v>
                </c:pt>
                <c:pt idx="57">
                  <c:v>7100000</c:v>
                </c:pt>
                <c:pt idx="58">
                  <c:v>7400000</c:v>
                </c:pt>
                <c:pt idx="59">
                  <c:v>7700000</c:v>
                </c:pt>
                <c:pt idx="60">
                  <c:v>8000000</c:v>
                </c:pt>
                <c:pt idx="61">
                  <c:v>8300000</c:v>
                </c:pt>
                <c:pt idx="62">
                  <c:v>8600000</c:v>
                </c:pt>
                <c:pt idx="63">
                  <c:v>8900000</c:v>
                </c:pt>
                <c:pt idx="64">
                  <c:v>9200000</c:v>
                </c:pt>
                <c:pt idx="65">
                  <c:v>9500000</c:v>
                </c:pt>
                <c:pt idx="66">
                  <c:v>9800000</c:v>
                </c:pt>
                <c:pt idx="67">
                  <c:v>10100000</c:v>
                </c:pt>
                <c:pt idx="68">
                  <c:v>10400000</c:v>
                </c:pt>
                <c:pt idx="69">
                  <c:v>10700000</c:v>
                </c:pt>
                <c:pt idx="70">
                  <c:v>11000000</c:v>
                </c:pt>
                <c:pt idx="71">
                  <c:v>11300000</c:v>
                </c:pt>
                <c:pt idx="72">
                  <c:v>11600000</c:v>
                </c:pt>
                <c:pt idx="73">
                  <c:v>11900000</c:v>
                </c:pt>
                <c:pt idx="74">
                  <c:v>12200000</c:v>
                </c:pt>
                <c:pt idx="75">
                  <c:v>12500000</c:v>
                </c:pt>
                <c:pt idx="76">
                  <c:v>12800000</c:v>
                </c:pt>
                <c:pt idx="77">
                  <c:v>13100000</c:v>
                </c:pt>
                <c:pt idx="78">
                  <c:v>13400000</c:v>
                </c:pt>
                <c:pt idx="79">
                  <c:v>13700000</c:v>
                </c:pt>
                <c:pt idx="80">
                  <c:v>14000000</c:v>
                </c:pt>
                <c:pt idx="81">
                  <c:v>14300000</c:v>
                </c:pt>
                <c:pt idx="82">
                  <c:v>14600000</c:v>
                </c:pt>
                <c:pt idx="83">
                  <c:v>14900000</c:v>
                </c:pt>
                <c:pt idx="84">
                  <c:v>15200000</c:v>
                </c:pt>
                <c:pt idx="85">
                  <c:v>15500000</c:v>
                </c:pt>
                <c:pt idx="86">
                  <c:v>15800000</c:v>
                </c:pt>
                <c:pt idx="87">
                  <c:v>16100000</c:v>
                </c:pt>
                <c:pt idx="88">
                  <c:v>16400000</c:v>
                </c:pt>
                <c:pt idx="89">
                  <c:v>16700000</c:v>
                </c:pt>
                <c:pt idx="90">
                  <c:v>17000000</c:v>
                </c:pt>
                <c:pt idx="91">
                  <c:v>17300000</c:v>
                </c:pt>
                <c:pt idx="92">
                  <c:v>17600000</c:v>
                </c:pt>
                <c:pt idx="93">
                  <c:v>17900000</c:v>
                </c:pt>
                <c:pt idx="94">
                  <c:v>18200000</c:v>
                </c:pt>
                <c:pt idx="95">
                  <c:v>18500000</c:v>
                </c:pt>
                <c:pt idx="96">
                  <c:v>18800000</c:v>
                </c:pt>
                <c:pt idx="97">
                  <c:v>19100000</c:v>
                </c:pt>
                <c:pt idx="98">
                  <c:v>19400000</c:v>
                </c:pt>
                <c:pt idx="99">
                  <c:v>19700000</c:v>
                </c:pt>
                <c:pt idx="100">
                  <c:v>20000000</c:v>
                </c:pt>
              </c:numCache>
            </c:numRef>
          </c:cat>
          <c:val>
            <c:numRef>
              <c:f>[0]!probab</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1E-3</c:v>
                </c:pt>
                <c:pt idx="13">
                  <c:v>2E-3</c:v>
                </c:pt>
                <c:pt idx="14">
                  <c:v>6.0000000000000001E-3</c:v>
                </c:pt>
                <c:pt idx="15">
                  <c:v>7.0000000000000001E-3</c:v>
                </c:pt>
                <c:pt idx="16">
                  <c:v>8.9999999999999993E-3</c:v>
                </c:pt>
                <c:pt idx="17">
                  <c:v>1.2E-2</c:v>
                </c:pt>
                <c:pt idx="18">
                  <c:v>1.0999999999999999E-2</c:v>
                </c:pt>
                <c:pt idx="19">
                  <c:v>8.0000000000000002E-3</c:v>
                </c:pt>
                <c:pt idx="20">
                  <c:v>1.9E-2</c:v>
                </c:pt>
                <c:pt idx="21">
                  <c:v>1.4E-2</c:v>
                </c:pt>
                <c:pt idx="22">
                  <c:v>1.0999999999999999E-2</c:v>
                </c:pt>
                <c:pt idx="23">
                  <c:v>1.2E-2</c:v>
                </c:pt>
                <c:pt idx="24">
                  <c:v>2.5000000000000001E-2</c:v>
                </c:pt>
                <c:pt idx="25">
                  <c:v>1.6E-2</c:v>
                </c:pt>
                <c:pt idx="26">
                  <c:v>1.2999999999999999E-2</c:v>
                </c:pt>
                <c:pt idx="27">
                  <c:v>1.7000000000000001E-2</c:v>
                </c:pt>
                <c:pt idx="28">
                  <c:v>2.3E-2</c:v>
                </c:pt>
                <c:pt idx="29">
                  <c:v>2.3E-2</c:v>
                </c:pt>
                <c:pt idx="30">
                  <c:v>2.1000000000000001E-2</c:v>
                </c:pt>
                <c:pt idx="31">
                  <c:v>1.4999999999999999E-2</c:v>
                </c:pt>
                <c:pt idx="32">
                  <c:v>0.01</c:v>
                </c:pt>
                <c:pt idx="33">
                  <c:v>2.3E-2</c:v>
                </c:pt>
                <c:pt idx="34">
                  <c:v>2.4E-2</c:v>
                </c:pt>
                <c:pt idx="35">
                  <c:v>2.7E-2</c:v>
                </c:pt>
                <c:pt idx="36">
                  <c:v>2.1000000000000001E-2</c:v>
                </c:pt>
                <c:pt idx="37">
                  <c:v>1.9E-2</c:v>
                </c:pt>
                <c:pt idx="38">
                  <c:v>0.02</c:v>
                </c:pt>
                <c:pt idx="39">
                  <c:v>2.1999999999999999E-2</c:v>
                </c:pt>
                <c:pt idx="40">
                  <c:v>2.1000000000000001E-2</c:v>
                </c:pt>
                <c:pt idx="41">
                  <c:v>2.1000000000000001E-2</c:v>
                </c:pt>
                <c:pt idx="42">
                  <c:v>2.7E-2</c:v>
                </c:pt>
                <c:pt idx="43">
                  <c:v>0.03</c:v>
                </c:pt>
                <c:pt idx="44">
                  <c:v>2.7E-2</c:v>
                </c:pt>
                <c:pt idx="45">
                  <c:v>8.0000000000000002E-3</c:v>
                </c:pt>
                <c:pt idx="46">
                  <c:v>0.02</c:v>
                </c:pt>
                <c:pt idx="47">
                  <c:v>1.4999999999999999E-2</c:v>
                </c:pt>
                <c:pt idx="48">
                  <c:v>0.02</c:v>
                </c:pt>
                <c:pt idx="49">
                  <c:v>2.3E-2</c:v>
                </c:pt>
                <c:pt idx="50">
                  <c:v>1.7999999999999999E-2</c:v>
                </c:pt>
                <c:pt idx="51">
                  <c:v>2.5000000000000001E-2</c:v>
                </c:pt>
                <c:pt idx="52">
                  <c:v>2.1999999999999999E-2</c:v>
                </c:pt>
                <c:pt idx="53">
                  <c:v>0.02</c:v>
                </c:pt>
                <c:pt idx="54">
                  <c:v>1.4999999999999999E-2</c:v>
                </c:pt>
                <c:pt idx="55">
                  <c:v>1.2999999999999999E-2</c:v>
                </c:pt>
                <c:pt idx="56">
                  <c:v>1.4999999999999999E-2</c:v>
                </c:pt>
                <c:pt idx="57">
                  <c:v>1.6E-2</c:v>
                </c:pt>
                <c:pt idx="58">
                  <c:v>1.2E-2</c:v>
                </c:pt>
                <c:pt idx="59">
                  <c:v>1.2999999999999999E-2</c:v>
                </c:pt>
                <c:pt idx="60">
                  <c:v>0.02</c:v>
                </c:pt>
                <c:pt idx="61">
                  <c:v>1.4E-2</c:v>
                </c:pt>
                <c:pt idx="62">
                  <c:v>1.0999999999999999E-2</c:v>
                </c:pt>
                <c:pt idx="63">
                  <c:v>8.0000000000000002E-3</c:v>
                </c:pt>
                <c:pt idx="64">
                  <c:v>0.01</c:v>
                </c:pt>
                <c:pt idx="65">
                  <c:v>8.0000000000000002E-3</c:v>
                </c:pt>
                <c:pt idx="66">
                  <c:v>8.9999999999999993E-3</c:v>
                </c:pt>
                <c:pt idx="67">
                  <c:v>1.2E-2</c:v>
                </c:pt>
                <c:pt idx="68">
                  <c:v>1.0999999999999999E-2</c:v>
                </c:pt>
                <c:pt idx="69">
                  <c:v>8.0000000000000002E-3</c:v>
                </c:pt>
                <c:pt idx="70">
                  <c:v>0.01</c:v>
                </c:pt>
                <c:pt idx="71">
                  <c:v>1.2E-2</c:v>
                </c:pt>
                <c:pt idx="72">
                  <c:v>3.0000000000000001E-3</c:v>
                </c:pt>
                <c:pt idx="73">
                  <c:v>5.0000000000000001E-3</c:v>
                </c:pt>
                <c:pt idx="74">
                  <c:v>2E-3</c:v>
                </c:pt>
                <c:pt idx="75">
                  <c:v>4.0000000000000001E-3</c:v>
                </c:pt>
                <c:pt idx="76">
                  <c:v>3.0000000000000001E-3</c:v>
                </c:pt>
                <c:pt idx="77">
                  <c:v>5.0000000000000001E-3</c:v>
                </c:pt>
                <c:pt idx="78">
                  <c:v>6.0000000000000001E-3</c:v>
                </c:pt>
                <c:pt idx="79">
                  <c:v>3.0000000000000001E-3</c:v>
                </c:pt>
                <c:pt idx="80">
                  <c:v>5.0000000000000001E-3</c:v>
                </c:pt>
                <c:pt idx="81">
                  <c:v>1E-3</c:v>
                </c:pt>
                <c:pt idx="82">
                  <c:v>2E-3</c:v>
                </c:pt>
                <c:pt idx="83">
                  <c:v>2E-3</c:v>
                </c:pt>
                <c:pt idx="84">
                  <c:v>0</c:v>
                </c:pt>
                <c:pt idx="85">
                  <c:v>1E-3</c:v>
                </c:pt>
                <c:pt idx="86">
                  <c:v>1E-3</c:v>
                </c:pt>
                <c:pt idx="87">
                  <c:v>1E-3</c:v>
                </c:pt>
                <c:pt idx="88">
                  <c:v>2E-3</c:v>
                </c:pt>
                <c:pt idx="89">
                  <c:v>2E-3</c:v>
                </c:pt>
                <c:pt idx="90">
                  <c:v>0</c:v>
                </c:pt>
                <c:pt idx="91">
                  <c:v>4.0000000000000001E-3</c:v>
                </c:pt>
                <c:pt idx="92">
                  <c:v>1E-3</c:v>
                </c:pt>
                <c:pt idx="93">
                  <c:v>1E-3</c:v>
                </c:pt>
                <c:pt idx="94">
                  <c:v>0</c:v>
                </c:pt>
                <c:pt idx="95">
                  <c:v>0</c:v>
                </c:pt>
                <c:pt idx="96">
                  <c:v>1E-3</c:v>
                </c:pt>
                <c:pt idx="97">
                  <c:v>0</c:v>
                </c:pt>
                <c:pt idx="98">
                  <c:v>0</c:v>
                </c:pt>
                <c:pt idx="99">
                  <c:v>0</c:v>
                </c:pt>
                <c:pt idx="100">
                  <c:v>0</c:v>
                </c:pt>
              </c:numCache>
            </c:numRef>
          </c:val>
          <c:extLst>
            <c:ext xmlns:c16="http://schemas.microsoft.com/office/drawing/2014/chart" uri="{C3380CC4-5D6E-409C-BE32-E72D297353CC}">
              <c16:uniqueId val="{00000000-E225-49DF-B063-8192B70B0789}"/>
            </c:ext>
          </c:extLst>
        </c:ser>
        <c:ser>
          <c:idx val="1"/>
          <c:order val="1"/>
          <c:tx>
            <c:v>a</c:v>
          </c:tx>
          <c:spPr>
            <a:solidFill>
              <a:srgbClr val="C00000"/>
            </a:solidFill>
            <a:ln>
              <a:noFill/>
            </a:ln>
            <a:effectLst/>
          </c:spPr>
          <c:invertIfNegative val="0"/>
          <c:val>
            <c:numRef>
              <c:f>[0]!neg_range</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1E-3</c:v>
                </c:pt>
                <c:pt idx="13">
                  <c:v>2E-3</c:v>
                </c:pt>
                <c:pt idx="14">
                  <c:v>6.0000000000000001E-3</c:v>
                </c:pt>
                <c:pt idx="15">
                  <c:v>7.0000000000000001E-3</c:v>
                </c:pt>
                <c:pt idx="16">
                  <c:v>8.9999999999999993E-3</c:v>
                </c:pt>
                <c:pt idx="17">
                  <c:v>1.2E-2</c:v>
                </c:pt>
                <c:pt idx="18">
                  <c:v>1.0999999999999999E-2</c:v>
                </c:pt>
                <c:pt idx="19">
                  <c:v>8.0000000000000002E-3</c:v>
                </c:pt>
                <c:pt idx="20">
                  <c:v>1.9E-2</c:v>
                </c:pt>
                <c:pt idx="21">
                  <c:v>1.4E-2</c:v>
                </c:pt>
                <c:pt idx="22">
                  <c:v>1.0999999999999999E-2</c:v>
                </c:pt>
                <c:pt idx="23">
                  <c:v>1.2E-2</c:v>
                </c:pt>
                <c:pt idx="24">
                  <c:v>2.5000000000000001E-2</c:v>
                </c:pt>
                <c:pt idx="25">
                  <c:v>1.6E-2</c:v>
                </c:pt>
                <c:pt idx="26">
                  <c:v>1.2999999999999999E-2</c:v>
                </c:pt>
                <c:pt idx="27">
                  <c:v>1.7000000000000001E-2</c:v>
                </c:pt>
                <c:pt idx="28">
                  <c:v>2.3E-2</c:v>
                </c:pt>
                <c:pt idx="29">
                  <c:v>2.3E-2</c:v>
                </c:pt>
                <c:pt idx="30">
                  <c:v>2.1000000000000001E-2</c:v>
                </c:pt>
                <c:pt idx="31">
                  <c:v>1.4999999999999999E-2</c:v>
                </c:pt>
                <c:pt idx="32">
                  <c:v>0.01</c:v>
                </c:pt>
                <c:pt idx="33">
                  <c:v>2.3E-2</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E225-49DF-B063-8192B70B0789}"/>
            </c:ext>
          </c:extLst>
        </c:ser>
        <c:dLbls>
          <c:showLegendKey val="0"/>
          <c:showVal val="0"/>
          <c:showCatName val="0"/>
          <c:showSerName val="0"/>
          <c:showPercent val="0"/>
          <c:showBubbleSize val="0"/>
        </c:dLbls>
        <c:gapWidth val="0"/>
        <c:overlap val="100"/>
        <c:axId val="691690096"/>
        <c:axId val="691690752"/>
      </c:barChart>
      <c:catAx>
        <c:axId val="691690096"/>
        <c:scaling>
          <c:orientation val="minMax"/>
        </c:scaling>
        <c:delete val="0"/>
        <c:axPos val="b"/>
        <c:numFmt formatCode="#,##0_ ;[Red]\-#,##0\ " sourceLinked="0"/>
        <c:majorTickMark val="none"/>
        <c:minorTickMark val="none"/>
        <c:tickLblPos val="nextTo"/>
        <c:spPr>
          <a:noFill/>
          <a:ln w="9525" cap="flat" cmpd="sng" algn="ctr">
            <a:solidFill>
              <a:schemeClr val="tx1">
                <a:lumMod val="15000"/>
                <a:lumOff val="85000"/>
              </a:schemeClr>
            </a:solidFill>
            <a:round/>
          </a:ln>
          <a:effectLst/>
        </c:spPr>
        <c:txPr>
          <a:bodyPr rot="39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691690752"/>
        <c:crosses val="autoZero"/>
        <c:auto val="1"/>
        <c:lblAlgn val="ctr"/>
        <c:lblOffset val="100"/>
        <c:noMultiLvlLbl val="0"/>
      </c:catAx>
      <c:valAx>
        <c:axId val="691690752"/>
        <c:scaling>
          <c:orientation val="minMax"/>
        </c:scaling>
        <c:delete val="0"/>
        <c:axPos val="l"/>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691690096"/>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fi-FI" b="1">
                <a:solidFill>
                  <a:schemeClr val="tx1"/>
                </a:solidFill>
              </a:rPr>
              <a:t>Cumulative Probability</a:t>
            </a:r>
            <a:r>
              <a:rPr lang="fi-FI" b="1" baseline="0">
                <a:solidFill>
                  <a:schemeClr val="tx1"/>
                </a:solidFill>
              </a:rPr>
              <a:t> distribution</a:t>
            </a:r>
            <a:endParaRPr lang="fi-FI" b="1">
              <a:solidFill>
                <a:schemeClr val="tx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v>CDF</c:v>
          </c:tx>
          <c:spPr>
            <a:solidFill>
              <a:schemeClr val="accent6"/>
            </a:solidFill>
            <a:ln>
              <a:noFill/>
            </a:ln>
            <a:effectLst/>
          </c:spPr>
          <c:invertIfNegative val="0"/>
          <c:cat>
            <c:numRef>
              <c:f>[0]!range_prob</c:f>
              <c:numCache>
                <c:formatCode>General</c:formatCode>
                <c:ptCount val="101"/>
                <c:pt idx="0">
                  <c:v>-10000000</c:v>
                </c:pt>
                <c:pt idx="1">
                  <c:v>-9700000</c:v>
                </c:pt>
                <c:pt idx="2">
                  <c:v>-9400000</c:v>
                </c:pt>
                <c:pt idx="3">
                  <c:v>-9100000</c:v>
                </c:pt>
                <c:pt idx="4">
                  <c:v>-8800000</c:v>
                </c:pt>
                <c:pt idx="5">
                  <c:v>-8500000</c:v>
                </c:pt>
                <c:pt idx="6">
                  <c:v>-8200000</c:v>
                </c:pt>
                <c:pt idx="7">
                  <c:v>-7900000</c:v>
                </c:pt>
                <c:pt idx="8">
                  <c:v>-7600000</c:v>
                </c:pt>
                <c:pt idx="9">
                  <c:v>-7300000</c:v>
                </c:pt>
                <c:pt idx="10">
                  <c:v>-7000000</c:v>
                </c:pt>
                <c:pt idx="11">
                  <c:v>-6700000</c:v>
                </c:pt>
                <c:pt idx="12">
                  <c:v>-6400000</c:v>
                </c:pt>
                <c:pt idx="13">
                  <c:v>-6100000</c:v>
                </c:pt>
                <c:pt idx="14">
                  <c:v>-5800000</c:v>
                </c:pt>
                <c:pt idx="15">
                  <c:v>-5500000</c:v>
                </c:pt>
                <c:pt idx="16">
                  <c:v>-5200000</c:v>
                </c:pt>
                <c:pt idx="17">
                  <c:v>-4900000</c:v>
                </c:pt>
                <c:pt idx="18">
                  <c:v>-4600000</c:v>
                </c:pt>
                <c:pt idx="19">
                  <c:v>-4300000</c:v>
                </c:pt>
                <c:pt idx="20">
                  <c:v>-4000000</c:v>
                </c:pt>
                <c:pt idx="21">
                  <c:v>-3700000</c:v>
                </c:pt>
                <c:pt idx="22">
                  <c:v>-3400000</c:v>
                </c:pt>
                <c:pt idx="23">
                  <c:v>-3100000</c:v>
                </c:pt>
                <c:pt idx="24">
                  <c:v>-2800000</c:v>
                </c:pt>
                <c:pt idx="25">
                  <c:v>-2500000</c:v>
                </c:pt>
                <c:pt idx="26">
                  <c:v>-2200000</c:v>
                </c:pt>
                <c:pt idx="27">
                  <c:v>-1900000</c:v>
                </c:pt>
                <c:pt idx="28">
                  <c:v>-1600000</c:v>
                </c:pt>
                <c:pt idx="29">
                  <c:v>-1300000</c:v>
                </c:pt>
                <c:pt idx="30">
                  <c:v>-1000000</c:v>
                </c:pt>
                <c:pt idx="31">
                  <c:v>-700000</c:v>
                </c:pt>
                <c:pt idx="32">
                  <c:v>-400000</c:v>
                </c:pt>
                <c:pt idx="33">
                  <c:v>-100000</c:v>
                </c:pt>
                <c:pt idx="34">
                  <c:v>200000</c:v>
                </c:pt>
                <c:pt idx="35">
                  <c:v>500000</c:v>
                </c:pt>
                <c:pt idx="36">
                  <c:v>800000</c:v>
                </c:pt>
                <c:pt idx="37">
                  <c:v>1100000</c:v>
                </c:pt>
                <c:pt idx="38">
                  <c:v>1400000</c:v>
                </c:pt>
                <c:pt idx="39">
                  <c:v>1700000</c:v>
                </c:pt>
                <c:pt idx="40">
                  <c:v>2000000</c:v>
                </c:pt>
                <c:pt idx="41">
                  <c:v>2300000</c:v>
                </c:pt>
                <c:pt idx="42">
                  <c:v>2600000</c:v>
                </c:pt>
                <c:pt idx="43">
                  <c:v>2900000</c:v>
                </c:pt>
                <c:pt idx="44">
                  <c:v>3200000</c:v>
                </c:pt>
                <c:pt idx="45">
                  <c:v>3500000</c:v>
                </c:pt>
                <c:pt idx="46">
                  <c:v>3800000</c:v>
                </c:pt>
                <c:pt idx="47">
                  <c:v>4100000</c:v>
                </c:pt>
                <c:pt idx="48">
                  <c:v>4400000</c:v>
                </c:pt>
                <c:pt idx="49">
                  <c:v>4700000</c:v>
                </c:pt>
                <c:pt idx="50">
                  <c:v>5000000</c:v>
                </c:pt>
                <c:pt idx="51">
                  <c:v>5300000</c:v>
                </c:pt>
                <c:pt idx="52">
                  <c:v>5600000</c:v>
                </c:pt>
                <c:pt idx="53">
                  <c:v>5900000</c:v>
                </c:pt>
                <c:pt idx="54">
                  <c:v>6200000</c:v>
                </c:pt>
                <c:pt idx="55">
                  <c:v>6500000</c:v>
                </c:pt>
                <c:pt idx="56">
                  <c:v>6800000</c:v>
                </c:pt>
                <c:pt idx="57">
                  <c:v>7100000</c:v>
                </c:pt>
                <c:pt idx="58">
                  <c:v>7400000</c:v>
                </c:pt>
                <c:pt idx="59">
                  <c:v>7700000</c:v>
                </c:pt>
                <c:pt idx="60">
                  <c:v>8000000</c:v>
                </c:pt>
                <c:pt idx="61">
                  <c:v>8300000</c:v>
                </c:pt>
                <c:pt idx="62">
                  <c:v>8600000</c:v>
                </c:pt>
                <c:pt idx="63">
                  <c:v>8900000</c:v>
                </c:pt>
                <c:pt idx="64">
                  <c:v>9200000</c:v>
                </c:pt>
                <c:pt idx="65">
                  <c:v>9500000</c:v>
                </c:pt>
                <c:pt idx="66">
                  <c:v>9800000</c:v>
                </c:pt>
                <c:pt idx="67">
                  <c:v>10100000</c:v>
                </c:pt>
                <c:pt idx="68">
                  <c:v>10400000</c:v>
                </c:pt>
                <c:pt idx="69">
                  <c:v>10700000</c:v>
                </c:pt>
                <c:pt idx="70">
                  <c:v>11000000</c:v>
                </c:pt>
                <c:pt idx="71">
                  <c:v>11300000</c:v>
                </c:pt>
                <c:pt idx="72">
                  <c:v>11600000</c:v>
                </c:pt>
                <c:pt idx="73">
                  <c:v>11900000</c:v>
                </c:pt>
                <c:pt idx="74">
                  <c:v>12200000</c:v>
                </c:pt>
                <c:pt idx="75">
                  <c:v>12500000</c:v>
                </c:pt>
                <c:pt idx="76">
                  <c:v>12800000</c:v>
                </c:pt>
                <c:pt idx="77">
                  <c:v>13100000</c:v>
                </c:pt>
                <c:pt idx="78">
                  <c:v>13400000</c:v>
                </c:pt>
                <c:pt idx="79">
                  <c:v>13700000</c:v>
                </c:pt>
                <c:pt idx="80">
                  <c:v>14000000</c:v>
                </c:pt>
                <c:pt idx="81">
                  <c:v>14300000</c:v>
                </c:pt>
                <c:pt idx="82">
                  <c:v>14600000</c:v>
                </c:pt>
                <c:pt idx="83">
                  <c:v>14900000</c:v>
                </c:pt>
                <c:pt idx="84">
                  <c:v>15200000</c:v>
                </c:pt>
                <c:pt idx="85">
                  <c:v>15500000</c:v>
                </c:pt>
                <c:pt idx="86">
                  <c:v>15800000</c:v>
                </c:pt>
                <c:pt idx="87">
                  <c:v>16100000</c:v>
                </c:pt>
                <c:pt idx="88">
                  <c:v>16400000</c:v>
                </c:pt>
                <c:pt idx="89">
                  <c:v>16700000</c:v>
                </c:pt>
                <c:pt idx="90">
                  <c:v>17000000</c:v>
                </c:pt>
                <c:pt idx="91">
                  <c:v>17300000</c:v>
                </c:pt>
                <c:pt idx="92">
                  <c:v>17600000</c:v>
                </c:pt>
                <c:pt idx="93">
                  <c:v>17900000</c:v>
                </c:pt>
                <c:pt idx="94">
                  <c:v>18200000</c:v>
                </c:pt>
                <c:pt idx="95">
                  <c:v>18500000</c:v>
                </c:pt>
                <c:pt idx="96">
                  <c:v>18800000</c:v>
                </c:pt>
                <c:pt idx="97">
                  <c:v>19100000</c:v>
                </c:pt>
                <c:pt idx="98">
                  <c:v>19400000</c:v>
                </c:pt>
                <c:pt idx="99">
                  <c:v>19700000</c:v>
                </c:pt>
                <c:pt idx="100">
                  <c:v>20000000</c:v>
                </c:pt>
              </c:numCache>
            </c:numRef>
          </c:cat>
          <c:val>
            <c:numRef>
              <c:f>[0]!com_prob</c:f>
              <c:numCache>
                <c:formatCode>0.00%</c:formatCode>
                <c:ptCount val="100"/>
                <c:pt idx="0">
                  <c:v>0</c:v>
                </c:pt>
                <c:pt idx="1">
                  <c:v>0</c:v>
                </c:pt>
                <c:pt idx="2">
                  <c:v>0</c:v>
                </c:pt>
                <c:pt idx="3">
                  <c:v>0</c:v>
                </c:pt>
                <c:pt idx="4">
                  <c:v>0</c:v>
                </c:pt>
                <c:pt idx="5">
                  <c:v>0</c:v>
                </c:pt>
                <c:pt idx="6">
                  <c:v>0</c:v>
                </c:pt>
                <c:pt idx="7">
                  <c:v>0</c:v>
                </c:pt>
                <c:pt idx="8">
                  <c:v>0</c:v>
                </c:pt>
                <c:pt idx="9">
                  <c:v>0</c:v>
                </c:pt>
                <c:pt idx="10">
                  <c:v>0</c:v>
                </c:pt>
                <c:pt idx="11">
                  <c:v>0</c:v>
                </c:pt>
                <c:pt idx="12">
                  <c:v>1E-3</c:v>
                </c:pt>
                <c:pt idx="13">
                  <c:v>3.0000000000000001E-3</c:v>
                </c:pt>
                <c:pt idx="14">
                  <c:v>9.0000000000000011E-3</c:v>
                </c:pt>
                <c:pt idx="15">
                  <c:v>1.6E-2</c:v>
                </c:pt>
                <c:pt idx="16">
                  <c:v>2.5000000000000001E-2</c:v>
                </c:pt>
                <c:pt idx="17">
                  <c:v>3.7000000000000005E-2</c:v>
                </c:pt>
                <c:pt idx="18">
                  <c:v>4.8000000000000001E-2</c:v>
                </c:pt>
                <c:pt idx="19">
                  <c:v>5.6000000000000001E-2</c:v>
                </c:pt>
                <c:pt idx="20">
                  <c:v>7.4999999999999997E-2</c:v>
                </c:pt>
                <c:pt idx="21">
                  <c:v>8.8999999999999996E-2</c:v>
                </c:pt>
                <c:pt idx="22">
                  <c:v>9.9999999999999992E-2</c:v>
                </c:pt>
                <c:pt idx="23">
                  <c:v>0.11199999999999999</c:v>
                </c:pt>
                <c:pt idx="24">
                  <c:v>0.13699999999999998</c:v>
                </c:pt>
                <c:pt idx="25">
                  <c:v>0.15299999999999997</c:v>
                </c:pt>
                <c:pt idx="26">
                  <c:v>0.16599999999999998</c:v>
                </c:pt>
                <c:pt idx="27">
                  <c:v>0.183</c:v>
                </c:pt>
                <c:pt idx="28">
                  <c:v>0.20599999999999999</c:v>
                </c:pt>
                <c:pt idx="29">
                  <c:v>0.22899999999999998</c:v>
                </c:pt>
                <c:pt idx="30">
                  <c:v>0.24999999999999997</c:v>
                </c:pt>
                <c:pt idx="31">
                  <c:v>0.26499999999999996</c:v>
                </c:pt>
                <c:pt idx="32">
                  <c:v>0.27499999999999997</c:v>
                </c:pt>
                <c:pt idx="33">
                  <c:v>0.29799999999999999</c:v>
                </c:pt>
                <c:pt idx="34">
                  <c:v>0.32200000000000001</c:v>
                </c:pt>
                <c:pt idx="35">
                  <c:v>0.34900000000000003</c:v>
                </c:pt>
                <c:pt idx="36">
                  <c:v>0.37000000000000005</c:v>
                </c:pt>
                <c:pt idx="37">
                  <c:v>0.38900000000000007</c:v>
                </c:pt>
                <c:pt idx="38">
                  <c:v>0.40900000000000009</c:v>
                </c:pt>
                <c:pt idx="39">
                  <c:v>0.43100000000000011</c:v>
                </c:pt>
                <c:pt idx="40">
                  <c:v>0.45200000000000012</c:v>
                </c:pt>
                <c:pt idx="41">
                  <c:v>0.47300000000000014</c:v>
                </c:pt>
                <c:pt idx="42">
                  <c:v>0.50000000000000011</c:v>
                </c:pt>
                <c:pt idx="43">
                  <c:v>0.53000000000000014</c:v>
                </c:pt>
                <c:pt idx="44">
                  <c:v>0.55700000000000016</c:v>
                </c:pt>
                <c:pt idx="45">
                  <c:v>0.56500000000000017</c:v>
                </c:pt>
                <c:pt idx="46">
                  <c:v>0.58500000000000019</c:v>
                </c:pt>
                <c:pt idx="47">
                  <c:v>0.6000000000000002</c:v>
                </c:pt>
                <c:pt idx="48">
                  <c:v>0.62000000000000022</c:v>
                </c:pt>
                <c:pt idx="49">
                  <c:v>0.64300000000000024</c:v>
                </c:pt>
                <c:pt idx="50">
                  <c:v>0.66100000000000025</c:v>
                </c:pt>
                <c:pt idx="51">
                  <c:v>0.68600000000000028</c:v>
                </c:pt>
                <c:pt idx="52">
                  <c:v>0.7080000000000003</c:v>
                </c:pt>
                <c:pt idx="53">
                  <c:v>0.72800000000000031</c:v>
                </c:pt>
                <c:pt idx="54">
                  <c:v>0.74300000000000033</c:v>
                </c:pt>
                <c:pt idx="55">
                  <c:v>0.75600000000000034</c:v>
                </c:pt>
                <c:pt idx="56">
                  <c:v>0.77100000000000035</c:v>
                </c:pt>
                <c:pt idx="57">
                  <c:v>0.78700000000000037</c:v>
                </c:pt>
                <c:pt idx="58">
                  <c:v>0.79900000000000038</c:v>
                </c:pt>
                <c:pt idx="59">
                  <c:v>0.81200000000000039</c:v>
                </c:pt>
                <c:pt idx="60">
                  <c:v>0.83200000000000041</c:v>
                </c:pt>
                <c:pt idx="61">
                  <c:v>0.84600000000000042</c:v>
                </c:pt>
                <c:pt idx="62">
                  <c:v>0.85700000000000043</c:v>
                </c:pt>
                <c:pt idx="63">
                  <c:v>0.86500000000000044</c:v>
                </c:pt>
                <c:pt idx="64">
                  <c:v>0.87500000000000044</c:v>
                </c:pt>
                <c:pt idx="65">
                  <c:v>0.88300000000000045</c:v>
                </c:pt>
                <c:pt idx="66">
                  <c:v>0.89200000000000046</c:v>
                </c:pt>
                <c:pt idx="67">
                  <c:v>0.90400000000000047</c:v>
                </c:pt>
                <c:pt idx="68">
                  <c:v>0.91500000000000048</c:v>
                </c:pt>
                <c:pt idx="69">
                  <c:v>0.92300000000000049</c:v>
                </c:pt>
                <c:pt idx="70">
                  <c:v>0.9330000000000005</c:v>
                </c:pt>
                <c:pt idx="71">
                  <c:v>0.94500000000000051</c:v>
                </c:pt>
                <c:pt idx="72">
                  <c:v>0.94800000000000051</c:v>
                </c:pt>
                <c:pt idx="73">
                  <c:v>0.95300000000000051</c:v>
                </c:pt>
                <c:pt idx="74">
                  <c:v>0.95500000000000052</c:v>
                </c:pt>
                <c:pt idx="75">
                  <c:v>0.95900000000000052</c:v>
                </c:pt>
                <c:pt idx="76">
                  <c:v>0.96200000000000052</c:v>
                </c:pt>
                <c:pt idx="77">
                  <c:v>0.96700000000000053</c:v>
                </c:pt>
                <c:pt idx="78">
                  <c:v>0.97300000000000053</c:v>
                </c:pt>
                <c:pt idx="79">
                  <c:v>0.97600000000000053</c:v>
                </c:pt>
                <c:pt idx="80">
                  <c:v>0.98100000000000054</c:v>
                </c:pt>
                <c:pt idx="81">
                  <c:v>0.98200000000000054</c:v>
                </c:pt>
                <c:pt idx="82">
                  <c:v>0.98400000000000054</c:v>
                </c:pt>
                <c:pt idx="83">
                  <c:v>0.98600000000000054</c:v>
                </c:pt>
                <c:pt idx="84">
                  <c:v>0.98600000000000054</c:v>
                </c:pt>
                <c:pt idx="85">
                  <c:v>0.98700000000000054</c:v>
                </c:pt>
                <c:pt idx="86">
                  <c:v>0.98800000000000054</c:v>
                </c:pt>
                <c:pt idx="87">
                  <c:v>0.98900000000000055</c:v>
                </c:pt>
                <c:pt idx="88">
                  <c:v>0.99100000000000055</c:v>
                </c:pt>
                <c:pt idx="89">
                  <c:v>0.99300000000000055</c:v>
                </c:pt>
                <c:pt idx="90">
                  <c:v>0.99300000000000055</c:v>
                </c:pt>
                <c:pt idx="91">
                  <c:v>0.99700000000000055</c:v>
                </c:pt>
                <c:pt idx="92">
                  <c:v>0.99800000000000055</c:v>
                </c:pt>
                <c:pt idx="93">
                  <c:v>0.99900000000000055</c:v>
                </c:pt>
                <c:pt idx="94">
                  <c:v>0.99900000000000055</c:v>
                </c:pt>
                <c:pt idx="95">
                  <c:v>0.99900000000000055</c:v>
                </c:pt>
                <c:pt idx="96">
                  <c:v>1.0000000000000004</c:v>
                </c:pt>
                <c:pt idx="97">
                  <c:v>1.0000000000000004</c:v>
                </c:pt>
                <c:pt idx="98">
                  <c:v>1.0000000000000004</c:v>
                </c:pt>
                <c:pt idx="99">
                  <c:v>1.0000000000000004</c:v>
                </c:pt>
              </c:numCache>
            </c:numRef>
          </c:val>
          <c:extLst>
            <c:ext xmlns:c16="http://schemas.microsoft.com/office/drawing/2014/chart" uri="{C3380CC4-5D6E-409C-BE32-E72D297353CC}">
              <c16:uniqueId val="{00000000-DB69-4AE2-A789-5B480A534B81}"/>
            </c:ext>
          </c:extLst>
        </c:ser>
        <c:ser>
          <c:idx val="1"/>
          <c:order val="1"/>
          <c:tx>
            <c:v>a</c:v>
          </c:tx>
          <c:spPr>
            <a:solidFill>
              <a:srgbClr val="C00000"/>
            </a:solidFill>
            <a:ln>
              <a:noFill/>
            </a:ln>
            <a:effectLst/>
          </c:spPr>
          <c:invertIfNegative val="0"/>
          <c:cat>
            <c:numRef>
              <c:f>[0]!range_prob</c:f>
              <c:numCache>
                <c:formatCode>General</c:formatCode>
                <c:ptCount val="101"/>
                <c:pt idx="0">
                  <c:v>-10000000</c:v>
                </c:pt>
                <c:pt idx="1">
                  <c:v>-9700000</c:v>
                </c:pt>
                <c:pt idx="2">
                  <c:v>-9400000</c:v>
                </c:pt>
                <c:pt idx="3">
                  <c:v>-9100000</c:v>
                </c:pt>
                <c:pt idx="4">
                  <c:v>-8800000</c:v>
                </c:pt>
                <c:pt idx="5">
                  <c:v>-8500000</c:v>
                </c:pt>
                <c:pt idx="6">
                  <c:v>-8200000</c:v>
                </c:pt>
                <c:pt idx="7">
                  <c:v>-7900000</c:v>
                </c:pt>
                <c:pt idx="8">
                  <c:v>-7600000</c:v>
                </c:pt>
                <c:pt idx="9">
                  <c:v>-7300000</c:v>
                </c:pt>
                <c:pt idx="10">
                  <c:v>-7000000</c:v>
                </c:pt>
                <c:pt idx="11">
                  <c:v>-6700000</c:v>
                </c:pt>
                <c:pt idx="12">
                  <c:v>-6400000</c:v>
                </c:pt>
                <c:pt idx="13">
                  <c:v>-6100000</c:v>
                </c:pt>
                <c:pt idx="14">
                  <c:v>-5800000</c:v>
                </c:pt>
                <c:pt idx="15">
                  <c:v>-5500000</c:v>
                </c:pt>
                <c:pt idx="16">
                  <c:v>-5200000</c:v>
                </c:pt>
                <c:pt idx="17">
                  <c:v>-4900000</c:v>
                </c:pt>
                <c:pt idx="18">
                  <c:v>-4600000</c:v>
                </c:pt>
                <c:pt idx="19">
                  <c:v>-4300000</c:v>
                </c:pt>
                <c:pt idx="20">
                  <c:v>-4000000</c:v>
                </c:pt>
                <c:pt idx="21">
                  <c:v>-3700000</c:v>
                </c:pt>
                <c:pt idx="22">
                  <c:v>-3400000</c:v>
                </c:pt>
                <c:pt idx="23">
                  <c:v>-3100000</c:v>
                </c:pt>
                <c:pt idx="24">
                  <c:v>-2800000</c:v>
                </c:pt>
                <c:pt idx="25">
                  <c:v>-2500000</c:v>
                </c:pt>
                <c:pt idx="26">
                  <c:v>-2200000</c:v>
                </c:pt>
                <c:pt idx="27">
                  <c:v>-1900000</c:v>
                </c:pt>
                <c:pt idx="28">
                  <c:v>-1600000</c:v>
                </c:pt>
                <c:pt idx="29">
                  <c:v>-1300000</c:v>
                </c:pt>
                <c:pt idx="30">
                  <c:v>-1000000</c:v>
                </c:pt>
                <c:pt idx="31">
                  <c:v>-700000</c:v>
                </c:pt>
                <c:pt idx="32">
                  <c:v>-400000</c:v>
                </c:pt>
                <c:pt idx="33">
                  <c:v>-100000</c:v>
                </c:pt>
                <c:pt idx="34">
                  <c:v>200000</c:v>
                </c:pt>
                <c:pt idx="35">
                  <c:v>500000</c:v>
                </c:pt>
                <c:pt idx="36">
                  <c:v>800000</c:v>
                </c:pt>
                <c:pt idx="37">
                  <c:v>1100000</c:v>
                </c:pt>
                <c:pt idx="38">
                  <c:v>1400000</c:v>
                </c:pt>
                <c:pt idx="39">
                  <c:v>1700000</c:v>
                </c:pt>
                <c:pt idx="40">
                  <c:v>2000000</c:v>
                </c:pt>
                <c:pt idx="41">
                  <c:v>2300000</c:v>
                </c:pt>
                <c:pt idx="42">
                  <c:v>2600000</c:v>
                </c:pt>
                <c:pt idx="43">
                  <c:v>2900000</c:v>
                </c:pt>
                <c:pt idx="44">
                  <c:v>3200000</c:v>
                </c:pt>
                <c:pt idx="45">
                  <c:v>3500000</c:v>
                </c:pt>
                <c:pt idx="46">
                  <c:v>3800000</c:v>
                </c:pt>
                <c:pt idx="47">
                  <c:v>4100000</c:v>
                </c:pt>
                <c:pt idx="48">
                  <c:v>4400000</c:v>
                </c:pt>
                <c:pt idx="49">
                  <c:v>4700000</c:v>
                </c:pt>
                <c:pt idx="50">
                  <c:v>5000000</c:v>
                </c:pt>
                <c:pt idx="51">
                  <c:v>5300000</c:v>
                </c:pt>
                <c:pt idx="52">
                  <c:v>5600000</c:v>
                </c:pt>
                <c:pt idx="53">
                  <c:v>5900000</c:v>
                </c:pt>
                <c:pt idx="54">
                  <c:v>6200000</c:v>
                </c:pt>
                <c:pt idx="55">
                  <c:v>6500000</c:v>
                </c:pt>
                <c:pt idx="56">
                  <c:v>6800000</c:v>
                </c:pt>
                <c:pt idx="57">
                  <c:v>7100000</c:v>
                </c:pt>
                <c:pt idx="58">
                  <c:v>7400000</c:v>
                </c:pt>
                <c:pt idx="59">
                  <c:v>7700000</c:v>
                </c:pt>
                <c:pt idx="60">
                  <c:v>8000000</c:v>
                </c:pt>
                <c:pt idx="61">
                  <c:v>8300000</c:v>
                </c:pt>
                <c:pt idx="62">
                  <c:v>8600000</c:v>
                </c:pt>
                <c:pt idx="63">
                  <c:v>8900000</c:v>
                </c:pt>
                <c:pt idx="64">
                  <c:v>9200000</c:v>
                </c:pt>
                <c:pt idx="65">
                  <c:v>9500000</c:v>
                </c:pt>
                <c:pt idx="66">
                  <c:v>9800000</c:v>
                </c:pt>
                <c:pt idx="67">
                  <c:v>10100000</c:v>
                </c:pt>
                <c:pt idx="68">
                  <c:v>10400000</c:v>
                </c:pt>
                <c:pt idx="69">
                  <c:v>10700000</c:v>
                </c:pt>
                <c:pt idx="70">
                  <c:v>11000000</c:v>
                </c:pt>
                <c:pt idx="71">
                  <c:v>11300000</c:v>
                </c:pt>
                <c:pt idx="72">
                  <c:v>11600000</c:v>
                </c:pt>
                <c:pt idx="73">
                  <c:v>11900000</c:v>
                </c:pt>
                <c:pt idx="74">
                  <c:v>12200000</c:v>
                </c:pt>
                <c:pt idx="75">
                  <c:v>12500000</c:v>
                </c:pt>
                <c:pt idx="76">
                  <c:v>12800000</c:v>
                </c:pt>
                <c:pt idx="77">
                  <c:v>13100000</c:v>
                </c:pt>
                <c:pt idx="78">
                  <c:v>13400000</c:v>
                </c:pt>
                <c:pt idx="79">
                  <c:v>13700000</c:v>
                </c:pt>
                <c:pt idx="80">
                  <c:v>14000000</c:v>
                </c:pt>
                <c:pt idx="81">
                  <c:v>14300000</c:v>
                </c:pt>
                <c:pt idx="82">
                  <c:v>14600000</c:v>
                </c:pt>
                <c:pt idx="83">
                  <c:v>14900000</c:v>
                </c:pt>
                <c:pt idx="84">
                  <c:v>15200000</c:v>
                </c:pt>
                <c:pt idx="85">
                  <c:v>15500000</c:v>
                </c:pt>
                <c:pt idx="86">
                  <c:v>15800000</c:v>
                </c:pt>
                <c:pt idx="87">
                  <c:v>16100000</c:v>
                </c:pt>
                <c:pt idx="88">
                  <c:v>16400000</c:v>
                </c:pt>
                <c:pt idx="89">
                  <c:v>16700000</c:v>
                </c:pt>
                <c:pt idx="90">
                  <c:v>17000000</c:v>
                </c:pt>
                <c:pt idx="91">
                  <c:v>17300000</c:v>
                </c:pt>
                <c:pt idx="92">
                  <c:v>17600000</c:v>
                </c:pt>
                <c:pt idx="93">
                  <c:v>17900000</c:v>
                </c:pt>
                <c:pt idx="94">
                  <c:v>18200000</c:v>
                </c:pt>
                <c:pt idx="95">
                  <c:v>18500000</c:v>
                </c:pt>
                <c:pt idx="96">
                  <c:v>18800000</c:v>
                </c:pt>
                <c:pt idx="97">
                  <c:v>19100000</c:v>
                </c:pt>
                <c:pt idx="98">
                  <c:v>19400000</c:v>
                </c:pt>
                <c:pt idx="99">
                  <c:v>19700000</c:v>
                </c:pt>
                <c:pt idx="100">
                  <c:v>20000000</c:v>
                </c:pt>
              </c:numCache>
            </c:numRef>
          </c:cat>
          <c:val>
            <c:numRef>
              <c:f>[0]!neg_range_cum</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1E-3</c:v>
                </c:pt>
                <c:pt idx="13">
                  <c:v>3.0000000000000001E-3</c:v>
                </c:pt>
                <c:pt idx="14">
                  <c:v>9.0000000000000011E-3</c:v>
                </c:pt>
                <c:pt idx="15">
                  <c:v>1.6E-2</c:v>
                </c:pt>
                <c:pt idx="16">
                  <c:v>2.5000000000000001E-2</c:v>
                </c:pt>
                <c:pt idx="17">
                  <c:v>3.7000000000000005E-2</c:v>
                </c:pt>
                <c:pt idx="18">
                  <c:v>4.8000000000000001E-2</c:v>
                </c:pt>
                <c:pt idx="19">
                  <c:v>5.6000000000000001E-2</c:v>
                </c:pt>
                <c:pt idx="20">
                  <c:v>7.4999999999999997E-2</c:v>
                </c:pt>
                <c:pt idx="21">
                  <c:v>8.8999999999999996E-2</c:v>
                </c:pt>
                <c:pt idx="22">
                  <c:v>9.9999999999999992E-2</c:v>
                </c:pt>
                <c:pt idx="23">
                  <c:v>0.11199999999999999</c:v>
                </c:pt>
                <c:pt idx="24">
                  <c:v>0.13699999999999998</c:v>
                </c:pt>
                <c:pt idx="25">
                  <c:v>0.15299999999999997</c:v>
                </c:pt>
                <c:pt idx="26">
                  <c:v>0.16599999999999998</c:v>
                </c:pt>
                <c:pt idx="27">
                  <c:v>0.183</c:v>
                </c:pt>
                <c:pt idx="28">
                  <c:v>0.20599999999999999</c:v>
                </c:pt>
                <c:pt idx="29">
                  <c:v>0.22899999999999998</c:v>
                </c:pt>
                <c:pt idx="30">
                  <c:v>0.24999999999999997</c:v>
                </c:pt>
                <c:pt idx="31">
                  <c:v>0.26499999999999996</c:v>
                </c:pt>
                <c:pt idx="32">
                  <c:v>0.27499999999999997</c:v>
                </c:pt>
                <c:pt idx="33">
                  <c:v>0.29799999999999999</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DB69-4AE2-A789-5B480A534B81}"/>
            </c:ext>
          </c:extLst>
        </c:ser>
        <c:dLbls>
          <c:showLegendKey val="0"/>
          <c:showVal val="0"/>
          <c:showCatName val="0"/>
          <c:showSerName val="0"/>
          <c:showPercent val="0"/>
          <c:showBubbleSize val="0"/>
        </c:dLbls>
        <c:gapWidth val="0"/>
        <c:overlap val="100"/>
        <c:axId val="390215912"/>
        <c:axId val="659438216"/>
      </c:barChart>
      <c:catAx>
        <c:axId val="390215912"/>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39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659438216"/>
        <c:crosses val="autoZero"/>
        <c:auto val="1"/>
        <c:lblAlgn val="ctr"/>
        <c:lblOffset val="100"/>
        <c:noMultiLvlLbl val="0"/>
      </c:catAx>
      <c:valAx>
        <c:axId val="659438216"/>
        <c:scaling>
          <c:orientation val="minMax"/>
          <c:max val="1"/>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90215912"/>
        <c:crosses val="autoZero"/>
        <c:crossBetween val="between"/>
      </c:valAx>
      <c:spPr>
        <a:noFill/>
        <a:ln w="25400">
          <a:noFill/>
        </a:ln>
        <a:effectLst/>
      </c:spPr>
    </c:plotArea>
    <c:plotVisOnly val="1"/>
    <c:dispBlanksAs val="zero"/>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2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426719</xdr:colOff>
          <xdr:row>19</xdr:row>
          <xdr:rowOff>188512</xdr:rowOff>
        </xdr:from>
        <xdr:to>
          <xdr:col>3</xdr:col>
          <xdr:colOff>793474</xdr:colOff>
          <xdr:row>21</xdr:row>
          <xdr:rowOff>72887</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1896931" y="3783359"/>
              <a:ext cx="2688614" cy="296752"/>
              <a:chOff x="2016983" y="3892495"/>
              <a:chExt cx="2367830" cy="308444"/>
            </a:xfrm>
          </xdr:grpSpPr>
          <xdr:sp macro="" textlink="">
            <xdr:nvSpPr>
              <xdr:cNvPr id="5124" name="Option Button 4" hidden="1">
                <a:extLst>
                  <a:ext uri="{63B3BB69-23CF-44E3-9099-C40C66FF867C}">
                    <a14:compatExt spid="_x0000_s5124"/>
                  </a:ext>
                  <a:ext uri="{FF2B5EF4-FFF2-40B4-BE49-F238E27FC236}">
                    <a16:creationId xmlns:a16="http://schemas.microsoft.com/office/drawing/2014/main" id="{00000000-0008-0000-0100-000004140000}"/>
                  </a:ext>
                </a:extLst>
              </xdr:cNvPr>
              <xdr:cNvSpPr/>
            </xdr:nvSpPr>
            <xdr:spPr bwMode="auto">
              <a:xfrm>
                <a:off x="2016983" y="3892495"/>
                <a:ext cx="331323" cy="30844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5125" name="Option Button 5" hidden="1">
                <a:extLst>
                  <a:ext uri="{63B3BB69-23CF-44E3-9099-C40C66FF867C}">
                    <a14:compatExt spid="_x0000_s5125"/>
                  </a:ext>
                  <a:ext uri="{FF2B5EF4-FFF2-40B4-BE49-F238E27FC236}">
                    <a16:creationId xmlns:a16="http://schemas.microsoft.com/office/drawing/2014/main" id="{00000000-0008-0000-0100-000005140000}"/>
                  </a:ext>
                </a:extLst>
              </xdr:cNvPr>
              <xdr:cNvSpPr/>
            </xdr:nvSpPr>
            <xdr:spPr bwMode="auto">
              <a:xfrm>
                <a:off x="3052638" y="3892495"/>
                <a:ext cx="313414" cy="30844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5126" name="Option Button 6" hidden="1">
                <a:extLst>
                  <a:ext uri="{63B3BB69-23CF-44E3-9099-C40C66FF867C}">
                    <a14:compatExt spid="_x0000_s5126"/>
                  </a:ext>
                  <a:ext uri="{FF2B5EF4-FFF2-40B4-BE49-F238E27FC236}">
                    <a16:creationId xmlns:a16="http://schemas.microsoft.com/office/drawing/2014/main" id="{00000000-0008-0000-0100-000006140000}"/>
                  </a:ext>
                </a:extLst>
              </xdr:cNvPr>
              <xdr:cNvSpPr/>
            </xdr:nvSpPr>
            <xdr:spPr bwMode="auto">
              <a:xfrm>
                <a:off x="4071398" y="3892495"/>
                <a:ext cx="313415" cy="30844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4</xdr:col>
      <xdr:colOff>235773</xdr:colOff>
      <xdr:row>15</xdr:row>
      <xdr:rowOff>71718</xdr:rowOff>
    </xdr:from>
    <xdr:to>
      <xdr:col>8</xdr:col>
      <xdr:colOff>881743</xdr:colOff>
      <xdr:row>17</xdr:row>
      <xdr:rowOff>170329</xdr:rowOff>
    </xdr:to>
    <xdr:grpSp>
      <xdr:nvGrpSpPr>
        <xdr:cNvPr id="7" name="Group 6">
          <a:extLst>
            <a:ext uri="{FF2B5EF4-FFF2-40B4-BE49-F238E27FC236}">
              <a16:creationId xmlns:a16="http://schemas.microsoft.com/office/drawing/2014/main" id="{00000000-0008-0000-0100-000007000000}"/>
            </a:ext>
          </a:extLst>
        </xdr:cNvPr>
        <xdr:cNvGrpSpPr/>
      </xdr:nvGrpSpPr>
      <xdr:grpSpPr>
        <a:xfrm>
          <a:off x="5300832" y="2940424"/>
          <a:ext cx="3416064" cy="457199"/>
          <a:chOff x="555812" y="2043953"/>
          <a:chExt cx="2626659" cy="457200"/>
        </a:xfrm>
        <a:scene3d>
          <a:camera prst="orthographicFront">
            <a:rot lat="0" lon="0" rev="0"/>
          </a:camera>
          <a:lightRig rig="soft" dir="t">
            <a:rot lat="0" lon="0" rev="0"/>
          </a:lightRig>
        </a:scene3d>
      </xdr:grpSpPr>
      <xdr:sp macro="[0]!breakeven" textlink="">
        <xdr:nvSpPr>
          <xdr:cNvPr id="5" name="Rectangle: Rounded Corners 4">
            <a:extLst>
              <a:ext uri="{FF2B5EF4-FFF2-40B4-BE49-F238E27FC236}">
                <a16:creationId xmlns:a16="http://schemas.microsoft.com/office/drawing/2014/main" id="{00000000-0008-0000-0100-000005000000}"/>
              </a:ext>
            </a:extLst>
          </xdr:cNvPr>
          <xdr:cNvSpPr/>
        </xdr:nvSpPr>
        <xdr:spPr>
          <a:xfrm>
            <a:off x="555812" y="2043953"/>
            <a:ext cx="2626659" cy="457200"/>
          </a:xfrm>
          <a:prstGeom prst="roundRect">
            <a:avLst/>
          </a:prstGeom>
          <a:solidFill>
            <a:schemeClr val="bg2">
              <a:lumMod val="50000"/>
            </a:schemeClr>
          </a:solidFill>
          <a:ln>
            <a:noFill/>
          </a:ln>
          <a:effectLst>
            <a:outerShdw blurRad="107950" dist="12700" dir="5400000" algn="ctr">
              <a:srgbClr val="000000"/>
            </a:outerShdw>
          </a:effectLst>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breakeven" textlink="">
        <xdr:nvSpPr>
          <xdr:cNvPr id="6" name="TextBox 5">
            <a:extLst>
              <a:ext uri="{FF2B5EF4-FFF2-40B4-BE49-F238E27FC236}">
                <a16:creationId xmlns:a16="http://schemas.microsoft.com/office/drawing/2014/main" id="{00000000-0008-0000-0100-000006000000}"/>
              </a:ext>
            </a:extLst>
          </xdr:cNvPr>
          <xdr:cNvSpPr txBox="1"/>
        </xdr:nvSpPr>
        <xdr:spPr>
          <a:xfrm>
            <a:off x="802341" y="2106706"/>
            <a:ext cx="2133600" cy="313765"/>
          </a:xfrm>
          <a:prstGeom prst="rect">
            <a:avLst/>
          </a:prstGeom>
          <a:noFill/>
          <a:ln w="9525" cmpd="sng">
            <a:noFill/>
          </a:ln>
          <a:effectLst>
            <a:outerShdw blurRad="107950" dist="12700" dir="5400000" algn="ctr">
              <a:srgbClr val="000000"/>
            </a:outerShdw>
          </a:effectLst>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t>Run the Break</a:t>
            </a:r>
            <a:r>
              <a:rPr lang="en-GB" sz="1200" b="1" baseline="0"/>
              <a:t> Even Analysis</a:t>
            </a:r>
            <a:endParaRPr lang="en-GB" sz="1200" b="1"/>
          </a:p>
        </xdr:txBody>
      </xdr:sp>
    </xdr:grpSp>
    <xdr:clientData/>
  </xdr:twoCellAnchor>
  <xdr:twoCellAnchor>
    <xdr:from>
      <xdr:col>2</xdr:col>
      <xdr:colOff>147758</xdr:colOff>
      <xdr:row>1</xdr:row>
      <xdr:rowOff>53789</xdr:rowOff>
    </xdr:from>
    <xdr:to>
      <xdr:col>8</xdr:col>
      <xdr:colOff>1024618</xdr:colOff>
      <xdr:row>15</xdr:row>
      <xdr:rowOff>32658</xdr:rowOff>
    </xdr:to>
    <xdr:graphicFrame macro="">
      <xdr:nvGraphicFramePr>
        <xdr:cNvPr id="15" name="Chart 14">
          <a:extLst>
            <a:ext uri="{FF2B5EF4-FFF2-40B4-BE49-F238E27FC236}">
              <a16:creationId xmlns:a16="http://schemas.microsoft.com/office/drawing/2014/main" id="{00000000-0008-0000-0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251460</xdr:colOff>
      <xdr:row>10</xdr:row>
      <xdr:rowOff>22860</xdr:rowOff>
    </xdr:from>
    <xdr:to>
      <xdr:col>1</xdr:col>
      <xdr:colOff>883920</xdr:colOff>
      <xdr:row>13</xdr:row>
      <xdr:rowOff>175260</xdr:rowOff>
    </xdr:to>
    <xdr:grpSp>
      <xdr:nvGrpSpPr>
        <xdr:cNvPr id="11" name="Group 10">
          <a:extLst>
            <a:ext uri="{FF2B5EF4-FFF2-40B4-BE49-F238E27FC236}">
              <a16:creationId xmlns:a16="http://schemas.microsoft.com/office/drawing/2014/main" id="{00000000-0008-0000-0100-00000B000000}"/>
            </a:ext>
          </a:extLst>
        </xdr:cNvPr>
        <xdr:cNvGrpSpPr/>
      </xdr:nvGrpSpPr>
      <xdr:grpSpPr>
        <a:xfrm>
          <a:off x="251460" y="1995095"/>
          <a:ext cx="2102672" cy="690283"/>
          <a:chOff x="251460" y="2026920"/>
          <a:chExt cx="2225040" cy="701040"/>
        </a:xfrm>
      </xdr:grpSpPr>
      <xdr:sp macro="[0]!printtt" textlink="">
        <xdr:nvSpPr>
          <xdr:cNvPr id="9" name="Rectangle: Rounded Corners 8">
            <a:extLst>
              <a:ext uri="{FF2B5EF4-FFF2-40B4-BE49-F238E27FC236}">
                <a16:creationId xmlns:a16="http://schemas.microsoft.com/office/drawing/2014/main" id="{00000000-0008-0000-0100-000009000000}"/>
              </a:ext>
            </a:extLst>
          </xdr:cNvPr>
          <xdr:cNvSpPr/>
        </xdr:nvSpPr>
        <xdr:spPr>
          <a:xfrm>
            <a:off x="251460" y="2026920"/>
            <a:ext cx="2225040" cy="701040"/>
          </a:xfrm>
          <a:prstGeom prst="roundRect">
            <a:avLst/>
          </a:prstGeom>
          <a:solidFill>
            <a:schemeClr val="bg2">
              <a:lumMod val="5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printtt" textlink="">
        <xdr:nvSpPr>
          <xdr:cNvPr id="10" name="TextBox 9">
            <a:extLst>
              <a:ext uri="{FF2B5EF4-FFF2-40B4-BE49-F238E27FC236}">
                <a16:creationId xmlns:a16="http://schemas.microsoft.com/office/drawing/2014/main" id="{00000000-0008-0000-0100-00000A000000}"/>
              </a:ext>
            </a:extLst>
          </xdr:cNvPr>
          <xdr:cNvSpPr txBox="1"/>
        </xdr:nvSpPr>
        <xdr:spPr>
          <a:xfrm>
            <a:off x="464820" y="2133600"/>
            <a:ext cx="1798320" cy="464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a:t>Print to PDF</a:t>
            </a:r>
          </a:p>
        </xdr:txBody>
      </xdr:sp>
    </xdr:grpSp>
    <xdr:clientData/>
  </xdr:twoCellAnchor>
  <xdr:twoCellAnchor>
    <xdr:from>
      <xdr:col>2</xdr:col>
      <xdr:colOff>380997</xdr:colOff>
      <xdr:row>33</xdr:row>
      <xdr:rowOff>0</xdr:rowOff>
    </xdr:from>
    <xdr:to>
      <xdr:col>8</xdr:col>
      <xdr:colOff>877256</xdr:colOff>
      <xdr:row>48</xdr:row>
      <xdr:rowOff>152400</xdr:rowOff>
    </xdr:to>
    <xdr:graphicFrame macro="">
      <xdr:nvGraphicFramePr>
        <xdr:cNvPr id="20" name="sens_npv_chart">
          <a:extLst>
            <a:ext uri="{FF2B5EF4-FFF2-40B4-BE49-F238E27FC236}">
              <a16:creationId xmlns:a16="http://schemas.microsoft.com/office/drawing/2014/main" id="{00000000-0008-0000-0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152402</xdr:colOff>
      <xdr:row>41</xdr:row>
      <xdr:rowOff>121920</xdr:rowOff>
    </xdr:from>
    <xdr:to>
      <xdr:col>2</xdr:col>
      <xdr:colOff>261259</xdr:colOff>
      <xdr:row>45</xdr:row>
      <xdr:rowOff>108858</xdr:rowOff>
    </xdr:to>
    <xdr:grpSp>
      <xdr:nvGrpSpPr>
        <xdr:cNvPr id="23" name="Group 22">
          <a:extLst>
            <a:ext uri="{FF2B5EF4-FFF2-40B4-BE49-F238E27FC236}">
              <a16:creationId xmlns:a16="http://schemas.microsoft.com/office/drawing/2014/main" id="{00000000-0008-0000-0100-000017000000}"/>
            </a:ext>
          </a:extLst>
        </xdr:cNvPr>
        <xdr:cNvGrpSpPr/>
      </xdr:nvGrpSpPr>
      <xdr:grpSpPr>
        <a:xfrm>
          <a:off x="152402" y="7795708"/>
          <a:ext cx="2834128" cy="704115"/>
          <a:chOff x="251460" y="2026920"/>
          <a:chExt cx="2225040" cy="701040"/>
        </a:xfrm>
      </xdr:grpSpPr>
      <xdr:sp macro="[0]!Sensitivity" textlink="">
        <xdr:nvSpPr>
          <xdr:cNvPr id="24" name="Rectangle: Rounded Corners 23">
            <a:extLst>
              <a:ext uri="{FF2B5EF4-FFF2-40B4-BE49-F238E27FC236}">
                <a16:creationId xmlns:a16="http://schemas.microsoft.com/office/drawing/2014/main" id="{00000000-0008-0000-0100-000018000000}"/>
              </a:ext>
            </a:extLst>
          </xdr:cNvPr>
          <xdr:cNvSpPr/>
        </xdr:nvSpPr>
        <xdr:spPr>
          <a:xfrm>
            <a:off x="251460" y="2026920"/>
            <a:ext cx="2225040" cy="701040"/>
          </a:xfrm>
          <a:prstGeom prst="roundRect">
            <a:avLst/>
          </a:prstGeom>
          <a:solidFill>
            <a:schemeClr val="bg2">
              <a:lumMod val="5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recall" textlink="">
        <xdr:nvSpPr>
          <xdr:cNvPr id="25" name="TextBox 24">
            <a:extLst>
              <a:ext uri="{FF2B5EF4-FFF2-40B4-BE49-F238E27FC236}">
                <a16:creationId xmlns:a16="http://schemas.microsoft.com/office/drawing/2014/main" id="{00000000-0008-0000-0100-000019000000}"/>
              </a:ext>
            </a:extLst>
          </xdr:cNvPr>
          <xdr:cNvSpPr txBox="1"/>
        </xdr:nvSpPr>
        <xdr:spPr>
          <a:xfrm>
            <a:off x="464820" y="2133600"/>
            <a:ext cx="1798320" cy="464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a:t>Run Sensitivity Analysis</a:t>
            </a:r>
          </a:p>
        </xdr:txBody>
      </xdr:sp>
    </xdr:grpSp>
    <xdr:clientData/>
  </xdr:twoCellAnchor>
  <xdr:twoCellAnchor>
    <xdr:from>
      <xdr:col>2</xdr:col>
      <xdr:colOff>380997</xdr:colOff>
      <xdr:row>50</xdr:row>
      <xdr:rowOff>0</xdr:rowOff>
    </xdr:from>
    <xdr:to>
      <xdr:col>8</xdr:col>
      <xdr:colOff>890052</xdr:colOff>
      <xdr:row>64</xdr:row>
      <xdr:rowOff>54230</xdr:rowOff>
    </xdr:to>
    <xdr:graphicFrame macro="">
      <xdr:nvGraphicFramePr>
        <xdr:cNvPr id="27" name="sens_pi_chart">
          <a:extLst>
            <a:ext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549407</xdr:colOff>
      <xdr:row>72</xdr:row>
      <xdr:rowOff>62754</xdr:rowOff>
    </xdr:from>
    <xdr:to>
      <xdr:col>8</xdr:col>
      <xdr:colOff>587827</xdr:colOff>
      <xdr:row>75</xdr:row>
      <xdr:rowOff>0</xdr:rowOff>
    </xdr:to>
    <xdr:grpSp>
      <xdr:nvGrpSpPr>
        <xdr:cNvPr id="32" name="Group 31">
          <a:extLst>
            <a:ext uri="{FF2B5EF4-FFF2-40B4-BE49-F238E27FC236}">
              <a16:creationId xmlns:a16="http://schemas.microsoft.com/office/drawing/2014/main" id="{00000000-0008-0000-0100-000020000000}"/>
            </a:ext>
          </a:extLst>
        </xdr:cNvPr>
        <xdr:cNvGrpSpPr/>
      </xdr:nvGrpSpPr>
      <xdr:grpSpPr>
        <a:xfrm>
          <a:off x="5883407" y="13375342"/>
          <a:ext cx="2539573" cy="475129"/>
          <a:chOff x="251460" y="2026920"/>
          <a:chExt cx="2225040" cy="701040"/>
        </a:xfrm>
      </xdr:grpSpPr>
      <xdr:sp macro="[0]!montecarlosim" textlink="">
        <xdr:nvSpPr>
          <xdr:cNvPr id="33" name="Rectangle: Rounded Corners 32">
            <a:extLst>
              <a:ext uri="{FF2B5EF4-FFF2-40B4-BE49-F238E27FC236}">
                <a16:creationId xmlns:a16="http://schemas.microsoft.com/office/drawing/2014/main" id="{00000000-0008-0000-0100-000021000000}"/>
              </a:ext>
            </a:extLst>
          </xdr:cNvPr>
          <xdr:cNvSpPr/>
        </xdr:nvSpPr>
        <xdr:spPr>
          <a:xfrm>
            <a:off x="251460" y="2026920"/>
            <a:ext cx="2225040" cy="701040"/>
          </a:xfrm>
          <a:prstGeom prst="roundRect">
            <a:avLst/>
          </a:prstGeom>
          <a:solidFill>
            <a:schemeClr val="bg2">
              <a:lumMod val="5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montecarlosim" textlink="">
        <xdr:nvSpPr>
          <xdr:cNvPr id="34" name="TextBox 33">
            <a:extLst>
              <a:ext uri="{FF2B5EF4-FFF2-40B4-BE49-F238E27FC236}">
                <a16:creationId xmlns:a16="http://schemas.microsoft.com/office/drawing/2014/main" id="{00000000-0008-0000-0100-000022000000}"/>
              </a:ext>
            </a:extLst>
          </xdr:cNvPr>
          <xdr:cNvSpPr txBox="1"/>
        </xdr:nvSpPr>
        <xdr:spPr>
          <a:xfrm>
            <a:off x="464820" y="2133600"/>
            <a:ext cx="1798320" cy="464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400" b="1"/>
              <a:t>Run Monte Carlo Sim</a:t>
            </a:r>
          </a:p>
        </xdr:txBody>
      </xdr:sp>
    </xdr:grpSp>
    <xdr:clientData/>
  </xdr:twoCellAnchor>
  <xdr:twoCellAnchor>
    <xdr:from>
      <xdr:col>0</xdr:col>
      <xdr:colOff>0</xdr:colOff>
      <xdr:row>80</xdr:row>
      <xdr:rowOff>0</xdr:rowOff>
    </xdr:from>
    <xdr:to>
      <xdr:col>3</xdr:col>
      <xdr:colOff>642257</xdr:colOff>
      <xdr:row>96</xdr:row>
      <xdr:rowOff>76198</xdr:rowOff>
    </xdr:to>
    <xdr:graphicFrame macro="">
      <xdr:nvGraphicFramePr>
        <xdr:cNvPr id="36" name="Chart 35">
          <a:extLst>
            <a:ext uri="{FF2B5EF4-FFF2-40B4-BE49-F238E27FC236}">
              <a16:creationId xmlns:a16="http://schemas.microsoft.com/office/drawing/2014/main" id="{00000000-0008-0000-0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555171</xdr:colOff>
      <xdr:row>79</xdr:row>
      <xdr:rowOff>163287</xdr:rowOff>
    </xdr:from>
    <xdr:to>
      <xdr:col>8</xdr:col>
      <xdr:colOff>859028</xdr:colOff>
      <xdr:row>96</xdr:row>
      <xdr:rowOff>55715</xdr:rowOff>
    </xdr:to>
    <xdr:graphicFrame macro="">
      <xdr:nvGraphicFramePr>
        <xdr:cNvPr id="37" name="Chart 36">
          <a:extLst>
            <a:ext uri="{FF2B5EF4-FFF2-40B4-BE49-F238E27FC236}">
              <a16:creationId xmlns:a16="http://schemas.microsoft.com/office/drawing/2014/main" id="{00000000-0008-0000-0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838200</xdr:colOff>
          <xdr:row>10</xdr:row>
          <xdr:rowOff>7620</xdr:rowOff>
        </xdr:from>
        <xdr:to>
          <xdr:col>2</xdr:col>
          <xdr:colOff>563880</xdr:colOff>
          <xdr:row>13</xdr:row>
          <xdr:rowOff>83820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Renew</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B1BF878-252E-4BF2-AE65-3228F2F0C784}" name="Table1" displayName="Table1" ref="A29:D32" totalsRowShown="0">
  <autoFilter ref="A29:D32" xr:uid="{FB1BF878-252E-4BF2-AE65-3228F2F0C784}"/>
  <tableColumns count="4">
    <tableColumn id="1" xr3:uid="{DDA92F37-56DA-41F1-BF7B-DDAED2209911}" name="Simulation #">
      <calculatedColumnFormula>ROW(A1)</calculatedColumnFormula>
    </tableColumn>
    <tableColumn id="2" xr3:uid="{2D47887F-69DA-4041-BFBF-F64E1094D858}" name="Variable cost"/>
    <tableColumn id="3" xr3:uid="{E502C8CF-C91B-4114-8B95-462E21419B6D}" name="Price"/>
    <tableColumn id="4" xr3:uid="{7DDF697E-BA86-4358-B1E1-CDDBE959040A}" name="Investment"/>
  </tableColumns>
  <tableStyleInfo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Quotabl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Quotable">
      <a:fillStyleLst>
        <a:solidFill>
          <a:schemeClr val="phClr"/>
        </a:solidFill>
        <a:gradFill rotWithShape="1">
          <a:gsLst>
            <a:gs pos="0">
              <a:schemeClr val="phClr">
                <a:tint val="80000"/>
                <a:lumMod val="105000"/>
              </a:schemeClr>
            </a:gs>
            <a:gs pos="100000">
              <a:schemeClr val="phClr">
                <a:tint val="90000"/>
              </a:schemeClr>
            </a:gs>
          </a:gsLst>
          <a:lin ang="5400000" scaled="0"/>
        </a:gradFill>
        <a:blipFill rotWithShape="1">
          <a:blip xmlns:r="http://schemas.openxmlformats.org/officeDocument/2006/relationships" r:embed="rId1">
            <a:duotone>
              <a:schemeClr val="phClr">
                <a:tint val="98000"/>
                <a:lumMod val="102000"/>
              </a:schemeClr>
              <a:schemeClr val="phClr">
                <a:shade val="98000"/>
                <a:lumMod val="98000"/>
              </a:schemeClr>
            </a:duotone>
          </a:blip>
          <a:tile tx="0" ty="0" sx="100000" sy="100000" flip="none" algn="tl"/>
        </a:blipFill>
      </a:fillStyleLst>
      <a:lnStyleLst>
        <a:ln w="9525" cap="rnd" cmpd="sng" algn="ctr">
          <a:solidFill>
            <a:schemeClr val="phClr"/>
          </a:solidFill>
          <a:prstDash val="solid"/>
        </a:ln>
        <a:ln w="15875" cap="rnd" cmpd="sng" algn="ctr">
          <a:solidFill>
            <a:schemeClr val="phClr"/>
          </a:solidFill>
          <a:prstDash val="solid"/>
        </a:ln>
        <a:ln w="25400" cap="rnd" cmpd="sng" algn="ctr">
          <a:solidFill>
            <a:schemeClr val="phClr"/>
          </a:solidFill>
          <a:prstDash val="solid"/>
        </a:ln>
      </a:lnStyleLst>
      <a:effectStyleLst>
        <a:effectStyle>
          <a:effectLst/>
        </a:effectStyle>
        <a:effectStyle>
          <a:effectLst/>
        </a:effectStyle>
        <a:effectStyle>
          <a:effectLst>
            <a:innerShdw blurRad="63500" dist="25400" dir="13500000">
              <a:srgbClr val="000000">
                <a:alpha val="75000"/>
              </a:srgbClr>
            </a:innerShdw>
          </a:effectLst>
        </a:effectStyle>
      </a:effectStyleLst>
      <a:bgFillStyleLst>
        <a:solidFill>
          <a:schemeClr val="phClr"/>
        </a:solidFill>
        <a:gradFill rotWithShape="1">
          <a:gsLst>
            <a:gs pos="0">
              <a:schemeClr val="phClr">
                <a:tint val="100000"/>
              </a:schemeClr>
            </a:gs>
            <a:gs pos="100000">
              <a:schemeClr val="phClr">
                <a:tint val="84000"/>
                <a:shade val="84000"/>
                <a:lumMod val="90000"/>
              </a:schemeClr>
            </a:gs>
          </a:gsLst>
          <a:lin ang="5400000" scaled="0"/>
        </a:gradFill>
        <a:gradFill rotWithShape="1">
          <a:gsLst>
            <a:gs pos="0">
              <a:schemeClr val="phClr">
                <a:tint val="84000"/>
                <a:shade val="90000"/>
                <a:satMod val="120000"/>
                <a:lumMod val="90000"/>
              </a:schemeClr>
            </a:gs>
            <a:gs pos="100000">
              <a:schemeClr val="phClr"/>
            </a:gs>
          </a:gsLst>
          <a:lin ang="5400000" scaled="0"/>
        </a:gradFill>
      </a:bgFillStyleLst>
    </a:fmtScheme>
  </a:themeElements>
  <a:objectDefaults/>
  <a:extraClrSchemeLst/>
  <a:extLst>
    <a:ext uri="{05A4C25C-085E-4340-85A3-A5531E510DB2}">
      <thm15:themeFamily xmlns:thm15="http://schemas.microsoft.com/office/thememl/2012/main" name="Quotable" id="{39EC5628-30ED-4578-ACD8-9820EDB8E15A}" vid="{6F3559E9-1A4C-49D8-94D4-F41003531C49}"/>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79746A-2C51-49D0-BE5E-45976A8E082D}">
  <sheetPr codeName="Sheet5">
    <tabColor rgb="FFFA7466"/>
  </sheetPr>
  <dimension ref="B1:Q39"/>
  <sheetViews>
    <sheetView showGridLines="0" zoomScale="70" zoomScaleNormal="70" workbookViewId="0">
      <selection activeCell="T7" sqref="T7"/>
    </sheetView>
  </sheetViews>
  <sheetFormatPr defaultRowHeight="14.4" x14ac:dyDescent="0.3"/>
  <sheetData>
    <row r="1" spans="2:17" ht="23.4" x14ac:dyDescent="0.45">
      <c r="B1" s="48" t="s">
        <v>116</v>
      </c>
    </row>
    <row r="2" spans="2:17" ht="10.95" customHeight="1" x14ac:dyDescent="0.3">
      <c r="B2" s="116" t="s">
        <v>117</v>
      </c>
      <c r="C2" s="116"/>
      <c r="D2" s="116"/>
      <c r="E2" s="116"/>
      <c r="F2" s="116"/>
      <c r="G2" s="116"/>
      <c r="H2" s="116"/>
      <c r="I2" s="116"/>
      <c r="J2" s="116"/>
      <c r="K2" s="116"/>
      <c r="L2" s="116"/>
      <c r="M2" s="116"/>
      <c r="N2" s="116"/>
      <c r="O2" s="116"/>
      <c r="P2" s="116"/>
      <c r="Q2" s="116"/>
    </row>
    <row r="3" spans="2:17" x14ac:dyDescent="0.3">
      <c r="B3" s="116"/>
      <c r="C3" s="116"/>
      <c r="D3" s="116"/>
      <c r="E3" s="116"/>
      <c r="F3" s="116"/>
      <c r="G3" s="116"/>
      <c r="H3" s="116"/>
      <c r="I3" s="116"/>
      <c r="J3" s="116"/>
      <c r="K3" s="116"/>
      <c r="L3" s="116"/>
      <c r="M3" s="116"/>
      <c r="N3" s="116"/>
      <c r="O3" s="116"/>
      <c r="P3" s="116"/>
      <c r="Q3" s="116"/>
    </row>
    <row r="4" spans="2:17" x14ac:dyDescent="0.3">
      <c r="B4" s="116"/>
      <c r="C4" s="116"/>
      <c r="D4" s="116"/>
      <c r="E4" s="116"/>
      <c r="F4" s="116"/>
      <c r="G4" s="116"/>
      <c r="H4" s="116"/>
      <c r="I4" s="116"/>
      <c r="J4" s="116"/>
      <c r="K4" s="116"/>
      <c r="L4" s="116"/>
      <c r="M4" s="116"/>
      <c r="N4" s="116"/>
      <c r="O4" s="116"/>
      <c r="P4" s="116"/>
      <c r="Q4" s="116"/>
    </row>
    <row r="5" spans="2:17" x14ac:dyDescent="0.3">
      <c r="B5" s="116"/>
      <c r="C5" s="116"/>
      <c r="D5" s="116"/>
      <c r="E5" s="116"/>
      <c r="F5" s="116"/>
      <c r="G5" s="116"/>
      <c r="H5" s="116"/>
      <c r="I5" s="116"/>
      <c r="J5" s="116"/>
      <c r="K5" s="116"/>
      <c r="L5" s="116"/>
      <c r="M5" s="116"/>
      <c r="N5" s="116"/>
      <c r="O5" s="116"/>
      <c r="P5" s="116"/>
      <c r="Q5" s="116"/>
    </row>
    <row r="6" spans="2:17" x14ac:dyDescent="0.3">
      <c r="B6" s="116"/>
      <c r="C6" s="116"/>
      <c r="D6" s="116"/>
      <c r="E6" s="116"/>
      <c r="F6" s="116"/>
      <c r="G6" s="116"/>
      <c r="H6" s="116"/>
      <c r="I6" s="116"/>
      <c r="J6" s="116"/>
      <c r="K6" s="116"/>
      <c r="L6" s="116"/>
      <c r="M6" s="116"/>
      <c r="N6" s="116"/>
      <c r="O6" s="116"/>
      <c r="P6" s="116"/>
      <c r="Q6" s="116"/>
    </row>
    <row r="7" spans="2:17" x14ac:dyDescent="0.3">
      <c r="B7" s="116"/>
      <c r="C7" s="116"/>
      <c r="D7" s="116"/>
      <c r="E7" s="116"/>
      <c r="F7" s="116"/>
      <c r="G7" s="116"/>
      <c r="H7" s="116"/>
      <c r="I7" s="116"/>
      <c r="J7" s="116"/>
      <c r="K7" s="116"/>
      <c r="L7" s="116"/>
      <c r="M7" s="116"/>
      <c r="N7" s="116"/>
      <c r="O7" s="116"/>
      <c r="P7" s="116"/>
      <c r="Q7" s="116"/>
    </row>
    <row r="8" spans="2:17" x14ac:dyDescent="0.3">
      <c r="B8" s="116"/>
      <c r="C8" s="116"/>
      <c r="D8" s="116"/>
      <c r="E8" s="116"/>
      <c r="F8" s="116"/>
      <c r="G8" s="116"/>
      <c r="H8" s="116"/>
      <c r="I8" s="116"/>
      <c r="J8" s="116"/>
      <c r="K8" s="116"/>
      <c r="L8" s="116"/>
      <c r="M8" s="116"/>
      <c r="N8" s="116"/>
      <c r="O8" s="116"/>
      <c r="P8" s="116"/>
      <c r="Q8" s="116"/>
    </row>
    <row r="9" spans="2:17" x14ac:dyDescent="0.3">
      <c r="B9" s="116"/>
      <c r="C9" s="116"/>
      <c r="D9" s="116"/>
      <c r="E9" s="116"/>
      <c r="F9" s="116"/>
      <c r="G9" s="116"/>
      <c r="H9" s="116"/>
      <c r="I9" s="116"/>
      <c r="J9" s="116"/>
      <c r="K9" s="116"/>
      <c r="L9" s="116"/>
      <c r="M9" s="116"/>
      <c r="N9" s="116"/>
      <c r="O9" s="116"/>
      <c r="P9" s="116"/>
      <c r="Q9" s="116"/>
    </row>
    <row r="10" spans="2:17" x14ac:dyDescent="0.3">
      <c r="B10" s="116"/>
      <c r="C10" s="116"/>
      <c r="D10" s="116"/>
      <c r="E10" s="116"/>
      <c r="F10" s="116"/>
      <c r="G10" s="116"/>
      <c r="H10" s="116"/>
      <c r="I10" s="116"/>
      <c r="J10" s="116"/>
      <c r="K10" s="116"/>
      <c r="L10" s="116"/>
      <c r="M10" s="116"/>
      <c r="N10" s="116"/>
      <c r="O10" s="116"/>
      <c r="P10" s="116"/>
      <c r="Q10" s="116"/>
    </row>
    <row r="11" spans="2:17" x14ac:dyDescent="0.3">
      <c r="B11" s="116"/>
      <c r="C11" s="116"/>
      <c r="D11" s="116"/>
      <c r="E11" s="116"/>
      <c r="F11" s="116"/>
      <c r="G11" s="116"/>
      <c r="H11" s="116"/>
      <c r="I11" s="116"/>
      <c r="J11" s="116"/>
      <c r="K11" s="116"/>
      <c r="L11" s="116"/>
      <c r="M11" s="116"/>
      <c r="N11" s="116"/>
      <c r="O11" s="116"/>
      <c r="P11" s="116"/>
      <c r="Q11" s="116"/>
    </row>
    <row r="12" spans="2:17" x14ac:dyDescent="0.3">
      <c r="B12" s="116"/>
      <c r="C12" s="116"/>
      <c r="D12" s="116"/>
      <c r="E12" s="116"/>
      <c r="F12" s="116"/>
      <c r="G12" s="116"/>
      <c r="H12" s="116"/>
      <c r="I12" s="116"/>
      <c r="J12" s="116"/>
      <c r="K12" s="116"/>
      <c r="L12" s="116"/>
      <c r="M12" s="116"/>
      <c r="N12" s="116"/>
      <c r="O12" s="116"/>
      <c r="P12" s="116"/>
      <c r="Q12" s="116"/>
    </row>
    <row r="13" spans="2:17" ht="23.4" x14ac:dyDescent="0.45">
      <c r="B13" s="48" t="s">
        <v>114</v>
      </c>
      <c r="D13" s="48"/>
    </row>
    <row r="14" spans="2:17" x14ac:dyDescent="0.3">
      <c r="B14" s="116" t="s">
        <v>115</v>
      </c>
      <c r="C14" s="116"/>
      <c r="D14" s="116"/>
      <c r="E14" s="116"/>
      <c r="F14" s="116"/>
      <c r="G14" s="116"/>
      <c r="H14" s="116"/>
      <c r="I14" s="116"/>
      <c r="J14" s="116"/>
      <c r="K14" s="116"/>
      <c r="L14" s="116"/>
      <c r="M14" s="116"/>
      <c r="N14" s="116"/>
      <c r="O14" s="116"/>
      <c r="P14" s="116"/>
      <c r="Q14" s="116"/>
    </row>
    <row r="15" spans="2:17" x14ac:dyDescent="0.3">
      <c r="B15" s="116"/>
      <c r="C15" s="116"/>
      <c r="D15" s="116"/>
      <c r="E15" s="116"/>
      <c r="F15" s="116"/>
      <c r="G15" s="116"/>
      <c r="H15" s="116"/>
      <c r="I15" s="116"/>
      <c r="J15" s="116"/>
      <c r="K15" s="116"/>
      <c r="L15" s="116"/>
      <c r="M15" s="116"/>
      <c r="N15" s="116"/>
      <c r="O15" s="116"/>
      <c r="P15" s="116"/>
      <c r="Q15" s="116"/>
    </row>
    <row r="16" spans="2:17" x14ac:dyDescent="0.3">
      <c r="B16" s="116"/>
      <c r="C16" s="116"/>
      <c r="D16" s="116"/>
      <c r="E16" s="116"/>
      <c r="F16" s="116"/>
      <c r="G16" s="116"/>
      <c r="H16" s="116"/>
      <c r="I16" s="116"/>
      <c r="J16" s="116"/>
      <c r="K16" s="116"/>
      <c r="L16" s="116"/>
      <c r="M16" s="116"/>
      <c r="N16" s="116"/>
      <c r="O16" s="116"/>
      <c r="P16" s="116"/>
      <c r="Q16" s="116"/>
    </row>
    <row r="17" spans="2:17" x14ac:dyDescent="0.3">
      <c r="B17" s="116"/>
      <c r="C17" s="116"/>
      <c r="D17" s="116"/>
      <c r="E17" s="116"/>
      <c r="F17" s="116"/>
      <c r="G17" s="116"/>
      <c r="H17" s="116"/>
      <c r="I17" s="116"/>
      <c r="J17" s="116"/>
      <c r="K17" s="116"/>
      <c r="L17" s="116"/>
      <c r="M17" s="116"/>
      <c r="N17" s="116"/>
      <c r="O17" s="116"/>
      <c r="P17" s="116"/>
      <c r="Q17" s="116"/>
    </row>
    <row r="18" spans="2:17" x14ac:dyDescent="0.3">
      <c r="B18" s="116"/>
      <c r="C18" s="116"/>
      <c r="D18" s="116"/>
      <c r="E18" s="116"/>
      <c r="F18" s="116"/>
      <c r="G18" s="116"/>
      <c r="H18" s="116"/>
      <c r="I18" s="116"/>
      <c r="J18" s="116"/>
      <c r="K18" s="116"/>
      <c r="L18" s="116"/>
      <c r="M18" s="116"/>
      <c r="N18" s="116"/>
      <c r="O18" s="116"/>
      <c r="P18" s="116"/>
      <c r="Q18" s="116"/>
    </row>
    <row r="19" spans="2:17" x14ac:dyDescent="0.3">
      <c r="B19" s="116"/>
      <c r="C19" s="116"/>
      <c r="D19" s="116"/>
      <c r="E19" s="116"/>
      <c r="F19" s="116"/>
      <c r="G19" s="116"/>
      <c r="H19" s="116"/>
      <c r="I19" s="116"/>
      <c r="J19" s="116"/>
      <c r="K19" s="116"/>
      <c r="L19" s="116"/>
      <c r="M19" s="116"/>
      <c r="N19" s="116"/>
      <c r="O19" s="116"/>
      <c r="P19" s="116"/>
      <c r="Q19" s="116"/>
    </row>
    <row r="20" spans="2:17" x14ac:dyDescent="0.3">
      <c r="B20" s="116"/>
      <c r="C20" s="116"/>
      <c r="D20" s="116"/>
      <c r="E20" s="116"/>
      <c r="F20" s="116"/>
      <c r="G20" s="116"/>
      <c r="H20" s="116"/>
      <c r="I20" s="116"/>
      <c r="J20" s="116"/>
      <c r="K20" s="116"/>
      <c r="L20" s="116"/>
      <c r="M20" s="116"/>
      <c r="N20" s="116"/>
      <c r="O20" s="116"/>
      <c r="P20" s="116"/>
      <c r="Q20" s="116"/>
    </row>
    <row r="21" spans="2:17" x14ac:dyDescent="0.3">
      <c r="B21" s="116"/>
      <c r="C21" s="116"/>
      <c r="D21" s="116"/>
      <c r="E21" s="116"/>
      <c r="F21" s="116"/>
      <c r="G21" s="116"/>
      <c r="H21" s="116"/>
      <c r="I21" s="116"/>
      <c r="J21" s="116"/>
      <c r="K21" s="116"/>
      <c r="L21" s="116"/>
      <c r="M21" s="116"/>
      <c r="N21" s="116"/>
      <c r="O21" s="116"/>
      <c r="P21" s="116"/>
      <c r="Q21" s="116"/>
    </row>
    <row r="22" spans="2:17" x14ac:dyDescent="0.3">
      <c r="B22" s="116"/>
      <c r="C22" s="116"/>
      <c r="D22" s="116"/>
      <c r="E22" s="116"/>
      <c r="F22" s="116"/>
      <c r="G22" s="116"/>
      <c r="H22" s="116"/>
      <c r="I22" s="116"/>
      <c r="J22" s="116"/>
      <c r="K22" s="116"/>
      <c r="L22" s="116"/>
      <c r="M22" s="116"/>
      <c r="N22" s="116"/>
      <c r="O22" s="116"/>
      <c r="P22" s="116"/>
      <c r="Q22" s="116"/>
    </row>
    <row r="23" spans="2:17" x14ac:dyDescent="0.3">
      <c r="B23" s="116"/>
      <c r="C23" s="116"/>
      <c r="D23" s="116"/>
      <c r="E23" s="116"/>
      <c r="F23" s="116"/>
      <c r="G23" s="116"/>
      <c r="H23" s="116"/>
      <c r="I23" s="116"/>
      <c r="J23" s="116"/>
      <c r="K23" s="116"/>
      <c r="L23" s="116"/>
      <c r="M23" s="116"/>
      <c r="N23" s="116"/>
      <c r="O23" s="116"/>
      <c r="P23" s="116"/>
      <c r="Q23" s="116"/>
    </row>
    <row r="24" spans="2:17" x14ac:dyDescent="0.3">
      <c r="B24" s="116"/>
      <c r="C24" s="116"/>
      <c r="D24" s="116"/>
      <c r="E24" s="116"/>
      <c r="F24" s="116"/>
      <c r="G24" s="116"/>
      <c r="H24" s="116"/>
      <c r="I24" s="116"/>
      <c r="J24" s="116"/>
      <c r="K24" s="116"/>
      <c r="L24" s="116"/>
      <c r="M24" s="116"/>
      <c r="N24" s="116"/>
      <c r="O24" s="116"/>
      <c r="P24" s="116"/>
      <c r="Q24" s="116"/>
    </row>
    <row r="25" spans="2:17" x14ac:dyDescent="0.3">
      <c r="B25" s="116"/>
      <c r="C25" s="116"/>
      <c r="D25" s="116"/>
      <c r="E25" s="116"/>
      <c r="F25" s="116"/>
      <c r="G25" s="116"/>
      <c r="H25" s="116"/>
      <c r="I25" s="116"/>
      <c r="J25" s="116"/>
      <c r="K25" s="116"/>
      <c r="L25" s="116"/>
      <c r="M25" s="116"/>
      <c r="N25" s="116"/>
      <c r="O25" s="116"/>
      <c r="P25" s="116"/>
      <c r="Q25" s="116"/>
    </row>
    <row r="26" spans="2:17" x14ac:dyDescent="0.3">
      <c r="B26" s="116"/>
      <c r="C26" s="116"/>
      <c r="D26" s="116"/>
      <c r="E26" s="116"/>
      <c r="F26" s="116"/>
      <c r="G26" s="116"/>
      <c r="H26" s="116"/>
      <c r="I26" s="116"/>
      <c r="J26" s="116"/>
      <c r="K26" s="116"/>
      <c r="L26" s="116"/>
      <c r="M26" s="116"/>
      <c r="N26" s="116"/>
      <c r="O26" s="116"/>
      <c r="P26" s="116"/>
      <c r="Q26" s="116"/>
    </row>
    <row r="27" spans="2:17" x14ac:dyDescent="0.3">
      <c r="B27" s="116"/>
      <c r="C27" s="116"/>
      <c r="D27" s="116"/>
      <c r="E27" s="116"/>
      <c r="F27" s="116"/>
      <c r="G27" s="116"/>
      <c r="H27" s="116"/>
      <c r="I27" s="116"/>
      <c r="J27" s="116"/>
      <c r="K27" s="116"/>
      <c r="L27" s="116"/>
      <c r="M27" s="116"/>
      <c r="N27" s="116"/>
      <c r="O27" s="116"/>
      <c r="P27" s="116"/>
      <c r="Q27" s="116"/>
    </row>
    <row r="28" spans="2:17" x14ac:dyDescent="0.3">
      <c r="B28" s="116"/>
      <c r="C28" s="116"/>
      <c r="D28" s="116"/>
      <c r="E28" s="116"/>
      <c r="F28" s="116"/>
      <c r="G28" s="116"/>
      <c r="H28" s="116"/>
      <c r="I28" s="116"/>
      <c r="J28" s="116"/>
      <c r="K28" s="116"/>
      <c r="L28" s="116"/>
      <c r="M28" s="116"/>
      <c r="N28" s="116"/>
      <c r="O28" s="116"/>
      <c r="P28" s="116"/>
      <c r="Q28" s="116"/>
    </row>
    <row r="29" spans="2:17" x14ac:dyDescent="0.3">
      <c r="B29" s="116"/>
      <c r="C29" s="116"/>
      <c r="D29" s="116"/>
      <c r="E29" s="116"/>
      <c r="F29" s="116"/>
      <c r="G29" s="116"/>
      <c r="H29" s="116"/>
      <c r="I29" s="116"/>
      <c r="J29" s="116"/>
      <c r="K29" s="116"/>
      <c r="L29" s="116"/>
      <c r="M29" s="116"/>
      <c r="N29" s="116"/>
      <c r="O29" s="116"/>
      <c r="P29" s="116"/>
      <c r="Q29" s="116"/>
    </row>
    <row r="30" spans="2:17" x14ac:dyDescent="0.3">
      <c r="B30" s="116"/>
      <c r="C30" s="116"/>
      <c r="D30" s="116"/>
      <c r="E30" s="116"/>
      <c r="F30" s="116"/>
      <c r="G30" s="116"/>
      <c r="H30" s="116"/>
      <c r="I30" s="116"/>
      <c r="J30" s="116"/>
      <c r="K30" s="116"/>
      <c r="L30" s="116"/>
      <c r="M30" s="116"/>
      <c r="N30" s="116"/>
      <c r="O30" s="116"/>
      <c r="P30" s="116"/>
      <c r="Q30" s="116"/>
    </row>
    <row r="31" spans="2:17" x14ac:dyDescent="0.3">
      <c r="B31" s="116"/>
      <c r="C31" s="116"/>
      <c r="D31" s="116"/>
      <c r="E31" s="116"/>
      <c r="F31" s="116"/>
      <c r="G31" s="116"/>
      <c r="H31" s="116"/>
      <c r="I31" s="116"/>
      <c r="J31" s="116"/>
      <c r="K31" s="116"/>
      <c r="L31" s="116"/>
      <c r="M31" s="116"/>
      <c r="N31" s="116"/>
      <c r="O31" s="116"/>
      <c r="P31" s="116"/>
      <c r="Q31" s="116"/>
    </row>
    <row r="32" spans="2:17" x14ac:dyDescent="0.3">
      <c r="B32" s="116"/>
      <c r="C32" s="116"/>
      <c r="D32" s="116"/>
      <c r="E32" s="116"/>
      <c r="F32" s="116"/>
      <c r="G32" s="116"/>
      <c r="H32" s="116"/>
      <c r="I32" s="116"/>
      <c r="J32" s="116"/>
      <c r="K32" s="116"/>
      <c r="L32" s="116"/>
      <c r="M32" s="116"/>
      <c r="N32" s="116"/>
      <c r="O32" s="116"/>
      <c r="P32" s="116"/>
      <c r="Q32" s="116"/>
    </row>
    <row r="33" spans="2:17" x14ac:dyDescent="0.3">
      <c r="B33" s="116"/>
      <c r="C33" s="116"/>
      <c r="D33" s="116"/>
      <c r="E33" s="116"/>
      <c r="F33" s="116"/>
      <c r="G33" s="116"/>
      <c r="H33" s="116"/>
      <c r="I33" s="116"/>
      <c r="J33" s="116"/>
      <c r="K33" s="116"/>
      <c r="L33" s="116"/>
      <c r="M33" s="116"/>
      <c r="N33" s="116"/>
      <c r="O33" s="116"/>
      <c r="P33" s="116"/>
      <c r="Q33" s="116"/>
    </row>
    <row r="34" spans="2:17" x14ac:dyDescent="0.3">
      <c r="B34" s="116"/>
      <c r="C34" s="116"/>
      <c r="D34" s="116"/>
      <c r="E34" s="116"/>
      <c r="F34" s="116"/>
      <c r="G34" s="116"/>
      <c r="H34" s="116"/>
      <c r="I34" s="116"/>
      <c r="J34" s="116"/>
      <c r="K34" s="116"/>
      <c r="L34" s="116"/>
      <c r="M34" s="116"/>
      <c r="N34" s="116"/>
      <c r="O34" s="116"/>
      <c r="P34" s="116"/>
      <c r="Q34" s="116"/>
    </row>
    <row r="35" spans="2:17" x14ac:dyDescent="0.3">
      <c r="B35" s="116"/>
      <c r="C35" s="116"/>
      <c r="D35" s="116"/>
      <c r="E35" s="116"/>
      <c r="F35" s="116"/>
      <c r="G35" s="116"/>
      <c r="H35" s="116"/>
      <c r="I35" s="116"/>
      <c r="J35" s="116"/>
      <c r="K35" s="116"/>
      <c r="L35" s="116"/>
      <c r="M35" s="116"/>
      <c r="N35" s="116"/>
      <c r="O35" s="116"/>
      <c r="P35" s="116"/>
      <c r="Q35" s="116"/>
    </row>
    <row r="36" spans="2:17" x14ac:dyDescent="0.3">
      <c r="B36" s="116"/>
      <c r="C36" s="116"/>
      <c r="D36" s="116"/>
      <c r="E36" s="116"/>
      <c r="F36" s="116"/>
      <c r="G36" s="116"/>
      <c r="H36" s="116"/>
      <c r="I36" s="116"/>
      <c r="J36" s="116"/>
      <c r="K36" s="116"/>
      <c r="L36" s="116"/>
      <c r="M36" s="116"/>
      <c r="N36" s="116"/>
      <c r="O36" s="116"/>
      <c r="P36" s="116"/>
      <c r="Q36" s="116"/>
    </row>
    <row r="37" spans="2:17" x14ac:dyDescent="0.3">
      <c r="B37" s="116"/>
      <c r="C37" s="116"/>
      <c r="D37" s="116"/>
      <c r="E37" s="116"/>
      <c r="F37" s="116"/>
      <c r="G37" s="116"/>
      <c r="H37" s="116"/>
      <c r="I37" s="116"/>
      <c r="J37" s="116"/>
      <c r="K37" s="116"/>
      <c r="L37" s="116"/>
      <c r="M37" s="116"/>
      <c r="N37" s="116"/>
      <c r="O37" s="116"/>
      <c r="P37" s="116"/>
      <c r="Q37" s="116"/>
    </row>
    <row r="38" spans="2:17" x14ac:dyDescent="0.3">
      <c r="B38" s="116"/>
      <c r="C38" s="116"/>
      <c r="D38" s="116"/>
      <c r="E38" s="116"/>
      <c r="F38" s="116"/>
      <c r="G38" s="116"/>
      <c r="H38" s="116"/>
      <c r="I38" s="116"/>
      <c r="J38" s="116"/>
      <c r="K38" s="116"/>
      <c r="L38" s="116"/>
      <c r="M38" s="116"/>
      <c r="N38" s="116"/>
      <c r="O38" s="116"/>
      <c r="P38" s="116"/>
      <c r="Q38" s="116"/>
    </row>
    <row r="39" spans="2:17" x14ac:dyDescent="0.3">
      <c r="B39" s="116"/>
      <c r="C39" s="116"/>
      <c r="D39" s="116"/>
      <c r="E39" s="116"/>
      <c r="F39" s="116"/>
      <c r="G39" s="116"/>
      <c r="H39" s="116"/>
      <c r="I39" s="116"/>
      <c r="J39" s="116"/>
      <c r="K39" s="116"/>
      <c r="L39" s="116"/>
      <c r="M39" s="116"/>
      <c r="N39" s="116"/>
      <c r="O39" s="116"/>
      <c r="P39" s="116"/>
      <c r="Q39" s="116"/>
    </row>
  </sheetData>
  <mergeCells count="2">
    <mergeCell ref="B2:Q12"/>
    <mergeCell ref="B14:Q39"/>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76E6E9-ABD5-4B0C-9418-12D385FC56E9}">
  <sheetPr codeName="Sheet10">
    <tabColor rgb="FFC00000"/>
  </sheetPr>
  <dimension ref="A1:I79"/>
  <sheetViews>
    <sheetView showGridLines="0" zoomScale="85" zoomScaleNormal="85" zoomScaleSheetLayoutView="70" zoomScalePageLayoutView="70" workbookViewId="0">
      <selection activeCell="K60" sqref="K60"/>
    </sheetView>
  </sheetViews>
  <sheetFormatPr defaultRowHeight="14.4" x14ac:dyDescent="0.3"/>
  <cols>
    <col min="1" max="1" width="21.44140625" customWidth="1"/>
    <col min="2" max="2" width="18.33203125" bestFit="1" customWidth="1"/>
    <col min="3" max="3" width="15.5546875" bestFit="1" customWidth="1"/>
    <col min="4" max="4" width="18.5546875" bestFit="1" customWidth="1"/>
    <col min="5" max="5" width="3.88671875" customWidth="1"/>
    <col min="6" max="6" width="11.33203125" customWidth="1"/>
    <col min="7" max="7" width="13.6640625" bestFit="1" customWidth="1"/>
    <col min="8" max="8" width="11.33203125" customWidth="1"/>
    <col min="9" max="9" width="14.44140625" bestFit="1" customWidth="1"/>
  </cols>
  <sheetData>
    <row r="1" spans="1:5" ht="23.4" x14ac:dyDescent="0.45">
      <c r="A1" s="48" t="s">
        <v>96</v>
      </c>
      <c r="B1" s="49"/>
    </row>
    <row r="2" spans="1:5" ht="15" thickBot="1" x14ac:dyDescent="0.35"/>
    <row r="3" spans="1:5" ht="18.600000000000001" thickBot="1" x14ac:dyDescent="0.4">
      <c r="A3" s="117" t="s">
        <v>113</v>
      </c>
      <c r="B3" s="118"/>
    </row>
    <row r="4" spans="1:5" x14ac:dyDescent="0.3">
      <c r="A4" t="s">
        <v>94</v>
      </c>
      <c r="B4" s="104" t="str">
        <f>_xlfn.CONCAT(Inputs!B12," periods")</f>
        <v>12 periods</v>
      </c>
    </row>
    <row r="5" spans="1:5" x14ac:dyDescent="0.3">
      <c r="A5" t="s">
        <v>95</v>
      </c>
      <c r="B5" s="103">
        <f>-construction</f>
        <v>10000000</v>
      </c>
    </row>
    <row r="6" spans="1:5" x14ac:dyDescent="0.3">
      <c r="A6" t="s">
        <v>41</v>
      </c>
      <c r="B6" s="103">
        <f>npv</f>
        <v>4630306.163823409</v>
      </c>
    </row>
    <row r="7" spans="1:5" x14ac:dyDescent="0.3">
      <c r="A7" t="s">
        <v>97</v>
      </c>
      <c r="B7" s="104" t="str">
        <f>_xlfn.CONCAT(dpp," periods")</f>
        <v>9 periods</v>
      </c>
    </row>
    <row r="8" spans="1:5" x14ac:dyDescent="0.3">
      <c r="A8" t="s">
        <v>98</v>
      </c>
      <c r="B8" s="105">
        <f>pi</f>
        <v>0.46303061638234089</v>
      </c>
    </row>
    <row r="9" spans="1:5" x14ac:dyDescent="0.3">
      <c r="A9" t="s">
        <v>42</v>
      </c>
      <c r="B9" s="105">
        <f>irr</f>
        <v>0.12568943558206569</v>
      </c>
    </row>
    <row r="14" spans="1:5" x14ac:dyDescent="0.3">
      <c r="B14" s="53"/>
      <c r="C14" s="53"/>
      <c r="D14" s="54"/>
      <c r="E14" s="54"/>
    </row>
    <row r="16" spans="1:5" x14ac:dyDescent="0.3">
      <c r="B16" s="50"/>
      <c r="C16" s="50"/>
      <c r="D16" s="18"/>
      <c r="E16" s="18"/>
    </row>
    <row r="17" spans="1:9" x14ac:dyDescent="0.3">
      <c r="E17" s="21"/>
    </row>
    <row r="18" spans="1:9" x14ac:dyDescent="0.3">
      <c r="E18" s="24"/>
    </row>
    <row r="19" spans="1:9" ht="15" thickBot="1" x14ac:dyDescent="0.35">
      <c r="E19" s="24"/>
    </row>
    <row r="20" spans="1:9" ht="18.600000000000001" thickBot="1" x14ac:dyDescent="0.4">
      <c r="A20" s="117" t="s">
        <v>100</v>
      </c>
      <c r="B20" s="119"/>
      <c r="C20" s="119"/>
      <c r="D20" s="118"/>
      <c r="F20" s="117" t="s">
        <v>99</v>
      </c>
      <c r="G20" s="119"/>
      <c r="H20" s="119"/>
      <c r="I20" s="118"/>
    </row>
    <row r="21" spans="1:9" x14ac:dyDescent="0.3">
      <c r="A21" s="23">
        <v>1</v>
      </c>
      <c r="D21" s="21"/>
      <c r="E21" s="55"/>
      <c r="F21" t="str" cm="1">
        <f t="array" ref="F21:I21">Table1[#Headers]</f>
        <v>Simulation #</v>
      </c>
      <c r="G21" t="str">
        <v>Variable cost</v>
      </c>
      <c r="H21" t="str">
        <v>Price</v>
      </c>
      <c r="I21" t="str">
        <v>Investment</v>
      </c>
    </row>
    <row r="22" spans="1:9" x14ac:dyDescent="0.3">
      <c r="B22" s="24">
        <v>1</v>
      </c>
      <c r="C22" s="25">
        <v>2</v>
      </c>
      <c r="D22" s="24">
        <v>3</v>
      </c>
      <c r="E22" s="55"/>
      <c r="F22" cm="1">
        <f t="array" ref="F22:I24">break_even_table</f>
        <v>1</v>
      </c>
      <c r="G22" s="50">
        <v>-1.0458682957851901</v>
      </c>
      <c r="H22" s="50">
        <v>1.4541317042148094</v>
      </c>
      <c r="I22" s="18">
        <v>-15674439.121399716</v>
      </c>
    </row>
    <row r="23" spans="1:9" x14ac:dyDescent="0.3">
      <c r="B23" t="s">
        <v>66</v>
      </c>
      <c r="C23" t="s">
        <v>64</v>
      </c>
      <c r="D23" t="s">
        <v>65</v>
      </c>
      <c r="E23" s="55"/>
      <c r="F23">
        <v>2</v>
      </c>
      <c r="G23" s="50">
        <v>-1.1047651851051783</v>
      </c>
      <c r="H23" s="50">
        <v>1.3487144160405768</v>
      </c>
      <c r="I23" s="18">
        <v>-17965466.888590507</v>
      </c>
    </row>
    <row r="24" spans="1:9" x14ac:dyDescent="0.3">
      <c r="A24" t="s">
        <v>110</v>
      </c>
      <c r="B24" s="26">
        <v>0</v>
      </c>
      <c r="C24" s="51">
        <v>0.3</v>
      </c>
      <c r="D24" s="51">
        <v>-0.1</v>
      </c>
      <c r="E24" s="55"/>
      <c r="F24">
        <v>3</v>
      </c>
      <c r="G24" s="50">
        <v>-0.96713509216347682</v>
      </c>
      <c r="H24" s="50">
        <v>1.4290571095779732</v>
      </c>
      <c r="I24" s="18">
        <v>-16944642.11129586</v>
      </c>
    </row>
    <row r="25" spans="1:9" x14ac:dyDescent="0.3">
      <c r="A25" t="s">
        <v>111</v>
      </c>
      <c r="B25" s="26">
        <v>0</v>
      </c>
      <c r="C25" s="51">
        <v>0.4</v>
      </c>
      <c r="D25" s="51">
        <v>0.1</v>
      </c>
      <c r="E25" s="55"/>
      <c r="G25" s="50"/>
      <c r="H25" s="50"/>
      <c r="I25" s="18"/>
    </row>
    <row r="26" spans="1:9" x14ac:dyDescent="0.3">
      <c r="A26" t="s">
        <v>5</v>
      </c>
      <c r="B26" s="26">
        <v>0</v>
      </c>
      <c r="C26" s="51">
        <v>0.5</v>
      </c>
      <c r="D26" s="51">
        <v>-0.3</v>
      </c>
      <c r="G26" s="50"/>
      <c r="H26" s="50"/>
      <c r="I26" s="18"/>
    </row>
    <row r="27" spans="1:9" x14ac:dyDescent="0.3">
      <c r="A27" t="s">
        <v>112</v>
      </c>
      <c r="B27" s="26">
        <v>0</v>
      </c>
      <c r="C27" s="51">
        <v>1</v>
      </c>
      <c r="D27" s="51">
        <v>-0.5</v>
      </c>
      <c r="G27" s="50"/>
      <c r="H27" s="50"/>
      <c r="I27" s="18"/>
    </row>
    <row r="28" spans="1:9" x14ac:dyDescent="0.3">
      <c r="A28" t="s">
        <v>18</v>
      </c>
      <c r="B28" s="26">
        <v>0</v>
      </c>
      <c r="C28" s="51">
        <v>0.2</v>
      </c>
      <c r="D28" s="51">
        <v>-0.2</v>
      </c>
      <c r="G28" s="50"/>
      <c r="H28" s="50"/>
      <c r="I28" s="18"/>
    </row>
    <row r="29" spans="1:9" x14ac:dyDescent="0.3">
      <c r="G29" s="50"/>
      <c r="H29" s="50"/>
      <c r="I29" s="18"/>
    </row>
    <row r="30" spans="1:9" x14ac:dyDescent="0.3">
      <c r="G30" s="50"/>
      <c r="H30" s="50"/>
      <c r="I30" s="21"/>
    </row>
    <row r="31" spans="1:9" x14ac:dyDescent="0.3">
      <c r="G31" s="50"/>
      <c r="H31" s="50"/>
      <c r="I31" s="18"/>
    </row>
    <row r="32" spans="1:9" x14ac:dyDescent="0.3">
      <c r="G32" s="50"/>
      <c r="H32" s="50"/>
      <c r="I32" s="18"/>
    </row>
    <row r="33" spans="1:9" ht="15" thickBot="1" x14ac:dyDescent="0.35">
      <c r="G33" s="50"/>
      <c r="H33" s="50"/>
      <c r="I33" s="18"/>
    </row>
    <row r="34" spans="1:9" ht="18.600000000000001" thickBot="1" x14ac:dyDescent="0.4">
      <c r="A34" s="117" t="s">
        <v>101</v>
      </c>
      <c r="B34" s="118"/>
    </row>
    <row r="35" spans="1:9" ht="15.6" x14ac:dyDescent="0.3">
      <c r="A35" s="65" t="s">
        <v>0</v>
      </c>
      <c r="B35" s="65"/>
    </row>
    <row r="36" spans="1:9" x14ac:dyDescent="0.3">
      <c r="A36" s="113" t="s">
        <v>27</v>
      </c>
      <c r="B36" s="111"/>
    </row>
    <row r="37" spans="1:9" x14ac:dyDescent="0.3">
      <c r="A37" s="113" t="s">
        <v>18</v>
      </c>
      <c r="B37" s="112"/>
    </row>
    <row r="38" spans="1:9" x14ac:dyDescent="0.3">
      <c r="A38" s="113" t="s">
        <v>110</v>
      </c>
      <c r="B38" s="112"/>
    </row>
    <row r="39" spans="1:9" x14ac:dyDescent="0.3">
      <c r="A39" s="113" t="s">
        <v>111</v>
      </c>
      <c r="B39" s="112"/>
    </row>
    <row r="40" spans="1:9" x14ac:dyDescent="0.3">
      <c r="A40" s="113" t="s">
        <v>7</v>
      </c>
      <c r="B40" s="112"/>
    </row>
    <row r="66" spans="1:9" ht="15" thickBot="1" x14ac:dyDescent="0.35"/>
    <row r="67" spans="1:9" ht="18.600000000000001" thickBot="1" x14ac:dyDescent="0.4">
      <c r="A67" s="60" t="s">
        <v>102</v>
      </c>
      <c r="B67" s="61"/>
      <c r="C67" s="61"/>
      <c r="D67" s="61"/>
      <c r="E67" s="61"/>
      <c r="F67" s="61"/>
      <c r="G67" s="61"/>
      <c r="H67" s="61"/>
      <c r="I67" s="62"/>
    </row>
    <row r="68" spans="1:9" ht="15.6" x14ac:dyDescent="0.3">
      <c r="A68" s="65" t="s">
        <v>103</v>
      </c>
      <c r="B68" s="66"/>
      <c r="C68" s="66"/>
      <c r="D68" s="66"/>
      <c r="E68" s="67"/>
      <c r="F68" s="67"/>
      <c r="G68" s="67"/>
      <c r="H68" s="67"/>
      <c r="I68" s="67"/>
    </row>
    <row r="69" spans="1:9" x14ac:dyDescent="0.3">
      <c r="A69" s="11" t="s">
        <v>68</v>
      </c>
      <c r="B69" s="11" t="s">
        <v>73</v>
      </c>
      <c r="C69" s="11" t="s">
        <v>69</v>
      </c>
      <c r="D69" s="11" t="s">
        <v>70</v>
      </c>
      <c r="E69" s="11" t="s">
        <v>74</v>
      </c>
    </row>
    <row r="70" spans="1:9" x14ac:dyDescent="0.3">
      <c r="A70" s="28" t="s">
        <v>110</v>
      </c>
      <c r="B70" s="29">
        <f>VLOOKUP(A70,Inputs!$A$9:$C$23,3,FALSE)</f>
        <v>2</v>
      </c>
      <c r="C70" s="29">
        <v>1</v>
      </c>
      <c r="D70" s="29">
        <v>2.7</v>
      </c>
      <c r="E70" s="106">
        <f ca="1">C70+(D70-C70)*RAND()</f>
        <v>1.6260611904785369</v>
      </c>
      <c r="G70" s="32" t="s">
        <v>71</v>
      </c>
      <c r="H70" s="33">
        <v>1000</v>
      </c>
    </row>
    <row r="71" spans="1:9" x14ac:dyDescent="0.3">
      <c r="A71" s="28" t="s">
        <v>111</v>
      </c>
      <c r="B71" s="29">
        <f>VLOOKUP(A71,Inputs!$A$9:$C$23,3,FALSE)</f>
        <v>-0.5</v>
      </c>
      <c r="C71" s="29">
        <v>-0.38</v>
      </c>
      <c r="D71" s="29">
        <v>-0.8</v>
      </c>
      <c r="E71" s="107">
        <f ca="1">C71+(D71-C71)*RAND()</f>
        <v>-0.65662923934524742</v>
      </c>
      <c r="G71" s="32" t="s">
        <v>80</v>
      </c>
      <c r="H71" s="33">
        <v>100</v>
      </c>
    </row>
    <row r="72" spans="1:9" x14ac:dyDescent="0.3">
      <c r="A72" s="28" t="s">
        <v>112</v>
      </c>
      <c r="B72" s="30">
        <f>VLOOKUP(A72,Inputs!$A$9:$C$23,3,FALSE)</f>
        <v>0.04</v>
      </c>
      <c r="C72" s="30">
        <v>0.02</v>
      </c>
      <c r="D72" s="30">
        <v>7.0000000000000007E-2</v>
      </c>
      <c r="E72" s="108">
        <f ca="1">C72+(D72-C72)*RAND()</f>
        <v>2.7243124398952535E-2</v>
      </c>
      <c r="G72" t="s">
        <v>93</v>
      </c>
      <c r="H72">
        <v>1000</v>
      </c>
    </row>
    <row r="73" spans="1:9" x14ac:dyDescent="0.3">
      <c r="A73" s="28" t="s">
        <v>57</v>
      </c>
      <c r="B73" s="31">
        <v>1000000</v>
      </c>
      <c r="C73" s="31">
        <v>600000</v>
      </c>
      <c r="D73" s="31">
        <v>1500000</v>
      </c>
      <c r="E73" s="109">
        <f ca="1">C73+(D73-C73)*RAND()</f>
        <v>901538.90156815527</v>
      </c>
    </row>
    <row r="74" spans="1:9" x14ac:dyDescent="0.3">
      <c r="A74" s="28" t="s">
        <v>58</v>
      </c>
      <c r="B74" s="31">
        <v>1500000</v>
      </c>
      <c r="C74" s="31">
        <v>1000000</v>
      </c>
      <c r="D74" s="31">
        <v>2100000</v>
      </c>
      <c r="E74" s="110">
        <f ca="1">C74+(D74-C74)*RAND()</f>
        <v>1006869.5317844583</v>
      </c>
    </row>
    <row r="77" spans="1:9" ht="15.6" x14ac:dyDescent="0.3">
      <c r="A77" s="63" t="s">
        <v>88</v>
      </c>
      <c r="B77" s="64"/>
      <c r="C77" s="64"/>
      <c r="D77" s="64"/>
      <c r="E77" s="64"/>
      <c r="F77" s="64"/>
      <c r="G77" s="64"/>
      <c r="H77" s="64"/>
      <c r="I77" s="64"/>
    </row>
    <row r="78" spans="1:9" x14ac:dyDescent="0.3">
      <c r="A78" s="71" t="s">
        <v>89</v>
      </c>
      <c r="B78" s="68">
        <f>AVERAGE(data_sim)</f>
        <v>3289220.1384148952</v>
      </c>
      <c r="C78" s="70" t="s">
        <v>104</v>
      </c>
      <c r="D78" s="57">
        <f>MAX(MC_hist!G:G)</f>
        <v>0.29799999999999999</v>
      </c>
      <c r="F78" s="70" t="s">
        <v>90</v>
      </c>
      <c r="G78" s="69">
        <f>MIN(data_sim)</f>
        <v>-6336696.2922</v>
      </c>
    </row>
    <row r="79" spans="1:9" x14ac:dyDescent="0.3">
      <c r="A79" s="71" t="s">
        <v>92</v>
      </c>
      <c r="B79" s="68">
        <f>_xlfn.STDEV.P(data_sim)</f>
        <v>5032376.6765974797</v>
      </c>
      <c r="C79" s="70" t="s">
        <v>105</v>
      </c>
      <c r="D79" s="58">
        <f>1-D78</f>
        <v>0.70199999999999996</v>
      </c>
      <c r="F79" s="70" t="s">
        <v>91</v>
      </c>
      <c r="G79" s="69">
        <f>MAX(data_sim)</f>
        <v>18924675.541200001</v>
      </c>
    </row>
  </sheetData>
  <mergeCells count="4">
    <mergeCell ref="A34:B34"/>
    <mergeCell ref="A3:B3"/>
    <mergeCell ref="F20:I20"/>
    <mergeCell ref="A20:D20"/>
  </mergeCells>
  <dataValidations count="3">
    <dataValidation type="list" allowBlank="1" showInputMessage="1" showErrorMessage="1" sqref="A24:A28 A36:A40" xr:uid="{D2CF7F43-11E3-40CA-A9AD-640A1C30933F}">
      <formula1>indicators</formula1>
    </dataValidation>
    <dataValidation type="list" allowBlank="1" showInputMessage="1" showErrorMessage="1" sqref="A70:A74" xr:uid="{4B19F8E1-1507-4241-8886-2878E9B3A089}">
      <formula1>ind_selec</formula1>
    </dataValidation>
    <dataValidation type="whole" operator="greaterThan" allowBlank="1" showInputMessage="1" showErrorMessage="1" sqref="H70" xr:uid="{8DB54306-3C5D-4CFB-B296-216C3BD34CFF}">
      <formula1>0</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4" r:id="rId4" name="Option Button 4">
              <controlPr defaultSize="0" autoFill="0" autoLine="0" autoPict="0">
                <anchor moveWithCells="1">
                  <from>
                    <xdr:col>1</xdr:col>
                    <xdr:colOff>426720</xdr:colOff>
                    <xdr:row>19</xdr:row>
                    <xdr:rowOff>190500</xdr:rowOff>
                  </from>
                  <to>
                    <xdr:col>1</xdr:col>
                    <xdr:colOff>800100</xdr:colOff>
                    <xdr:row>21</xdr:row>
                    <xdr:rowOff>76200</xdr:rowOff>
                  </to>
                </anchor>
              </controlPr>
            </control>
          </mc:Choice>
        </mc:AlternateContent>
        <mc:AlternateContent xmlns:mc="http://schemas.openxmlformats.org/markup-compatibility/2006">
          <mc:Choice Requires="x14">
            <control shapeId="5125" r:id="rId5" name="Option Button 5">
              <controlPr defaultSize="0" autoFill="0" autoLine="0" autoPict="0">
                <anchor moveWithCells="1">
                  <from>
                    <xdr:col>2</xdr:col>
                    <xdr:colOff>350520</xdr:colOff>
                    <xdr:row>19</xdr:row>
                    <xdr:rowOff>190500</xdr:rowOff>
                  </from>
                  <to>
                    <xdr:col>2</xdr:col>
                    <xdr:colOff>701040</xdr:colOff>
                    <xdr:row>21</xdr:row>
                    <xdr:rowOff>76200</xdr:rowOff>
                  </to>
                </anchor>
              </controlPr>
            </control>
          </mc:Choice>
        </mc:AlternateContent>
        <mc:AlternateContent xmlns:mc="http://schemas.openxmlformats.org/markup-compatibility/2006">
          <mc:Choice Requires="x14">
            <control shapeId="5126" r:id="rId6" name="Option Button 6">
              <controlPr defaultSize="0" autoFill="0" autoLine="0" autoPict="0">
                <anchor moveWithCells="1">
                  <from>
                    <xdr:col>3</xdr:col>
                    <xdr:colOff>434340</xdr:colOff>
                    <xdr:row>19</xdr:row>
                    <xdr:rowOff>190500</xdr:rowOff>
                  </from>
                  <to>
                    <xdr:col>3</xdr:col>
                    <xdr:colOff>792480</xdr:colOff>
                    <xdr:row>21</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7A2F3C-FF49-4889-A340-C6F778DB5CC6}">
  <sheetPr codeName="Sheet1">
    <tabColor theme="8" tint="0.59999389629810485"/>
  </sheetPr>
  <dimension ref="A1:K36"/>
  <sheetViews>
    <sheetView showGridLines="0" tabSelected="1" topLeftCell="A10" zoomScale="70" zoomScaleNormal="70" workbookViewId="0">
      <selection activeCell="E20" sqref="E20"/>
    </sheetView>
  </sheetViews>
  <sheetFormatPr defaultRowHeight="14.4" x14ac:dyDescent="0.3"/>
  <cols>
    <col min="1" max="1" width="33.88671875" customWidth="1"/>
    <col min="2" max="2" width="14.6640625" customWidth="1"/>
    <col min="3" max="3" width="13.6640625" customWidth="1"/>
    <col min="5" max="5" width="12.6640625" customWidth="1"/>
    <col min="6" max="6" width="15" customWidth="1"/>
    <col min="7" max="7" width="15.5546875" customWidth="1"/>
    <col min="11" max="11" width="13.109375" bestFit="1" customWidth="1"/>
  </cols>
  <sheetData>
    <row r="1" spans="1:11" ht="23.4" x14ac:dyDescent="0.45">
      <c r="A1" s="48" t="s">
        <v>1</v>
      </c>
      <c r="B1" s="74" t="s">
        <v>2</v>
      </c>
    </row>
    <row r="3" spans="1:11" x14ac:dyDescent="0.3">
      <c r="A3" s="11" t="s">
        <v>3</v>
      </c>
    </row>
    <row r="4" spans="1:11" x14ac:dyDescent="0.3">
      <c r="A4" t="s">
        <v>4</v>
      </c>
    </row>
    <row r="5" spans="1:11" x14ac:dyDescent="0.3">
      <c r="A5" t="s">
        <v>13</v>
      </c>
    </row>
    <row r="6" spans="1:11" x14ac:dyDescent="0.3">
      <c r="A6" t="s">
        <v>9</v>
      </c>
    </row>
    <row r="8" spans="1:11" x14ac:dyDescent="0.3">
      <c r="A8" s="11" t="s">
        <v>14</v>
      </c>
      <c r="F8" s="72" t="s">
        <v>106</v>
      </c>
      <c r="G8" s="73"/>
    </row>
    <row r="9" spans="1:11" x14ac:dyDescent="0.3">
      <c r="A9" t="s">
        <v>5</v>
      </c>
      <c r="B9" s="38">
        <v>0.1</v>
      </c>
      <c r="C9" s="10">
        <f>IF(_xlfn.IFNA(INDEX(changes,MATCH(Inputs!A9,scen_var,0),MATCH(scenario,scen_chosen)),0)=0,B9,B9*(1+_xlfn.IFNA(INDEX(changes,MATCH(Inputs!A9,scen_var,0),MATCH(scenario,scen_chosen)),0)))</f>
        <v>0.1</v>
      </c>
      <c r="D9" s="10"/>
      <c r="F9" s="72" t="s">
        <v>107</v>
      </c>
      <c r="G9" s="73"/>
      <c r="K9" s="21"/>
    </row>
    <row r="10" spans="1:11" x14ac:dyDescent="0.3">
      <c r="A10" t="s">
        <v>112</v>
      </c>
      <c r="B10" s="38">
        <v>0.04</v>
      </c>
      <c r="C10" s="10">
        <f>IF(_xlfn.IFNA(INDEX(changes,MATCH(Inputs!A10,scen_var,0),MATCH(scenario,scen_chosen)),0)=0,B10,B10*(1+_xlfn.IFNA(INDEX(changes,MATCH(Inputs!A10,scen_var,0),MATCH(scenario,scen_chosen)),0)))</f>
        <v>0.04</v>
      </c>
      <c r="F10" t="s">
        <v>51</v>
      </c>
      <c r="G10" s="36">
        <v>-0.5</v>
      </c>
      <c r="K10" s="21"/>
    </row>
    <row r="11" spans="1:11" x14ac:dyDescent="0.3">
      <c r="A11" t="s">
        <v>27</v>
      </c>
      <c r="B11" s="39">
        <f>B9-B10</f>
        <v>6.0000000000000005E-2</v>
      </c>
      <c r="C11" s="10">
        <f>IF(_xlfn.IFNA(INDEX(changes,MATCH(Inputs!A11,scen_var,0),MATCH(scenario,scen_chosen)),0)=0,C9-C10,B11*(1+_xlfn.IFNA(INDEX(changes,MATCH(Inputs!A11,scen_var,0),MATCH(scenario,scen_chosen)),0)))</f>
        <v>6.0000000000000005E-2</v>
      </c>
      <c r="F11" t="s">
        <v>50</v>
      </c>
      <c r="G11" s="36">
        <v>2</v>
      </c>
      <c r="K11" s="21"/>
    </row>
    <row r="12" spans="1:11" x14ac:dyDescent="0.3">
      <c r="A12" t="s">
        <v>15</v>
      </c>
      <c r="B12" s="33">
        <v>12</v>
      </c>
      <c r="C12">
        <f>IF(_xlfn.IFNA(INDEX(changes,MATCH(Inputs!A12,scen_var,0),MATCH(scenario,scen_chosen)),0)=0,B12,B12*(1+_xlfn.IFNA(INDEX(changes,MATCH(Inputs!A12,scen_var,0),MATCH(scenario,scen_chosen)),0)))</f>
        <v>12</v>
      </c>
      <c r="F12" t="s">
        <v>47</v>
      </c>
      <c r="G12" s="37">
        <v>-10000000</v>
      </c>
      <c r="K12" s="21"/>
    </row>
    <row r="13" spans="1:11" x14ac:dyDescent="0.3">
      <c r="A13" t="s">
        <v>18</v>
      </c>
      <c r="B13" s="38">
        <v>0.2</v>
      </c>
      <c r="C13" s="10">
        <f>IF(_xlfn.IFNA(INDEX(changes,MATCH(Inputs!A13,scen_var,0),MATCH(scenario,scen_chosen)),0)=0,B13,B13*(1+_xlfn.IFNA(INDEX(changes,MATCH(Inputs!A13,scen_var,0),MATCH(scenario,scen_chosen)),0)))</f>
        <v>0.2</v>
      </c>
      <c r="K13" s="21"/>
    </row>
    <row r="14" spans="1:11" x14ac:dyDescent="0.3">
      <c r="A14" t="s">
        <v>7</v>
      </c>
      <c r="B14" s="37">
        <v>-10000000</v>
      </c>
      <c r="C14" s="18">
        <f>IF(_xlfn.IFNA(INDEX(changes,MATCH(Inputs!A14,scen_var,0),MATCH(scenario,scen_chosen)),0)=0,B14,B14*(1+_xlfn.IFNA(INDEX(changes,MATCH(Inputs!A14,scen_var,0),MATCH(scenario,scen_chosen)),0)))</f>
        <v>-10000000</v>
      </c>
    </row>
    <row r="15" spans="1:11" x14ac:dyDescent="0.3">
      <c r="A15" t="s">
        <v>8</v>
      </c>
      <c r="B15" s="33">
        <v>2</v>
      </c>
      <c r="C15">
        <f>IF(_xlfn.IFNA(INDEX(changes,MATCH(Inputs!A15,scen_var,0),MATCH(scenario,scen_chosen)),0)=0,B15,B15*(1+_xlfn.IFNA(INDEX(changes,MATCH(Inputs!A15,scen_var,0),MATCH(scenario,scen_chosen)),0)))</f>
        <v>2</v>
      </c>
    </row>
    <row r="16" spans="1:11" x14ac:dyDescent="0.3">
      <c r="A16" t="s">
        <v>16</v>
      </c>
      <c r="B16" s="41">
        <f>-construction+SUM(Model!D6:O6)</f>
        <v>769230.76923076995</v>
      </c>
      <c r="C16" s="13">
        <f>IF(_xlfn.IFNA(INDEX(changes,MATCH(Inputs!A16,scen_var,0),MATCH(scenario,scen_chosen,0)),0)=0,B16,B16*(1+_xlfn.IFNA(INDEX(changes,MATCH(Inputs!A16,scen_var,0),MATCH(scenario,scen_chosen)),0)))</f>
        <v>769230.76923076995</v>
      </c>
    </row>
    <row r="18" spans="1:11" x14ac:dyDescent="0.3">
      <c r="A18" s="11" t="s">
        <v>29</v>
      </c>
    </row>
    <row r="19" spans="1:11" x14ac:dyDescent="0.3">
      <c r="A19" t="s">
        <v>21</v>
      </c>
      <c r="B19" s="34">
        <v>0</v>
      </c>
      <c r="C19" t="s">
        <v>22</v>
      </c>
      <c r="D19" s="34">
        <v>1</v>
      </c>
      <c r="E19" s="18">
        <f>construction/C15</f>
        <v>-5000000</v>
      </c>
      <c r="J19" s="11"/>
      <c r="K19" s="11"/>
    </row>
    <row r="21" spans="1:11" x14ac:dyDescent="0.3">
      <c r="A21" s="11" t="s">
        <v>12</v>
      </c>
    </row>
    <row r="22" spans="1:11" x14ac:dyDescent="0.3">
      <c r="A22" t="s">
        <v>110</v>
      </c>
      <c r="B22" s="36">
        <v>2</v>
      </c>
      <c r="C22" s="17">
        <f>IF(_xlfn.IFNA(INDEX(changes,MATCH(Inputs!A22,scen_var,0),MATCH(scenario,scen_chosen)),0)=0,B22,B22*(1+_xlfn.IFNA(INDEX(changes,MATCH(Inputs!A22,scen_var,0),MATCH(scenario,scen_chosen)),0)))</f>
        <v>2</v>
      </c>
    </row>
    <row r="23" spans="1:11" x14ac:dyDescent="0.3">
      <c r="A23" t="s">
        <v>111</v>
      </c>
      <c r="B23" s="36">
        <v>-0.5</v>
      </c>
      <c r="C23" s="17">
        <f>IF(_xlfn.IFNA(INDEX(changes,MATCH(Inputs!A23,scen_var,0),MATCH(scenario,scen_chosen)),0)=0,B23,B23*(1+_xlfn.IFNA(INDEX(changes,MATCH(Inputs!A23,scen_var,0),MATCH(scenario,scen_chosen)),0)))</f>
        <v>-0.5</v>
      </c>
    </row>
    <row r="24" spans="1:11" x14ac:dyDescent="0.3">
      <c r="A24" s="11" t="s">
        <v>55</v>
      </c>
    </row>
    <row r="25" spans="1:11" x14ac:dyDescent="0.3">
      <c r="A25" t="s">
        <v>56</v>
      </c>
      <c r="B25" t="s">
        <v>21</v>
      </c>
      <c r="C25" s="34">
        <v>0</v>
      </c>
      <c r="D25" t="s">
        <v>22</v>
      </c>
      <c r="E25" s="35">
        <v>1</v>
      </c>
      <c r="F25" s="33">
        <v>0</v>
      </c>
      <c r="G25" s="22">
        <f>IF(_xlfn.IFNA(INDEX(changes,MATCH(Inputs!A25,scen_var,0),MATCH(scenario,scen_chosen)),0)=0,F25,F25*(1+_xlfn.IFNA(INDEX(changes,MATCH(Inputs!A25,scen_var,0),MATCH(scenario,scen_chosen)),0)))</f>
        <v>0</v>
      </c>
    </row>
    <row r="26" spans="1:11" x14ac:dyDescent="0.3">
      <c r="A26" t="s">
        <v>57</v>
      </c>
      <c r="B26" t="s">
        <v>21</v>
      </c>
      <c r="C26" s="34">
        <v>2</v>
      </c>
      <c r="D26" t="s">
        <v>22</v>
      </c>
      <c r="E26" s="35">
        <v>4</v>
      </c>
      <c r="F26" s="33">
        <v>1000000</v>
      </c>
      <c r="G26" s="22">
        <f>IF(_xlfn.IFNA(INDEX(changes,MATCH(Inputs!A26,scen_var,0),MATCH(scenario,scen_chosen)),0)=0,F26,F26*(1+_xlfn.IFNA(INDEX(changes,MATCH(Inputs!A26,scen_var,0),MATCH(scenario,scen_chosen)),0)))</f>
        <v>1000000</v>
      </c>
    </row>
    <row r="27" spans="1:11" x14ac:dyDescent="0.3">
      <c r="A27" t="s">
        <v>58</v>
      </c>
      <c r="B27" t="s">
        <v>21</v>
      </c>
      <c r="C27" s="34">
        <v>5</v>
      </c>
      <c r="D27" t="s">
        <v>22</v>
      </c>
      <c r="E27" s="35">
        <v>13</v>
      </c>
      <c r="F27" s="33">
        <v>1500000</v>
      </c>
      <c r="G27" s="22">
        <f>IF(_xlfn.IFNA(INDEX(changes,MATCH(Inputs!A27,scen_var,0),MATCH(scenario,scen_chosen)),0)=0,F27,F27*(1+_xlfn.IFNA(INDEX(changes,MATCH(Inputs!A27,scen_var,0),MATCH(scenario,scen_chosen)),0)))</f>
        <v>1500000</v>
      </c>
    </row>
    <row r="28" spans="1:11" x14ac:dyDescent="0.3">
      <c r="K28" s="115"/>
    </row>
    <row r="29" spans="1:11" x14ac:dyDescent="0.3">
      <c r="A29" s="11" t="s">
        <v>26</v>
      </c>
      <c r="J29" s="114"/>
      <c r="K29" s="11"/>
    </row>
    <row r="30" spans="1:11" x14ac:dyDescent="0.3">
      <c r="A30" t="s">
        <v>59</v>
      </c>
      <c r="B30" t="s">
        <v>21</v>
      </c>
      <c r="C30" s="34">
        <v>0</v>
      </c>
      <c r="D30" t="s">
        <v>22</v>
      </c>
      <c r="E30" s="35">
        <v>1</v>
      </c>
      <c r="F30" s="33">
        <v>0</v>
      </c>
      <c r="G30" s="18">
        <f>IF(_xlfn.IFNA(INDEX(changes,MATCH(Inputs!A30,scen_var,0),MATCH(scenario,scen_chosen)),0)=0,F30,F30*(1+_xlfn.IFNA(INDEX(changes,MATCH(Inputs!A30,scen_var,0),MATCH(scenario,scen_chosen)),0)))</f>
        <v>0</v>
      </c>
    </row>
    <row r="31" spans="1:11" x14ac:dyDescent="0.3">
      <c r="A31" t="s">
        <v>60</v>
      </c>
      <c r="B31" t="s">
        <v>21</v>
      </c>
      <c r="C31" s="34">
        <v>2</v>
      </c>
      <c r="D31" t="s">
        <v>22</v>
      </c>
      <c r="E31" s="35">
        <v>6</v>
      </c>
      <c r="F31" s="33">
        <v>50000</v>
      </c>
      <c r="G31" s="18">
        <f>IF(_xlfn.IFNA(INDEX(changes,MATCH(Inputs!A31,scen_var,0),MATCH(scenario,scen_chosen)),0)=0,F31,F31*(1+_xlfn.IFNA(INDEX(changes,MATCH(Inputs!A31,scen_var,0),MATCH(scenario,scen_chosen)),0)))</f>
        <v>50000</v>
      </c>
    </row>
    <row r="32" spans="1:11" x14ac:dyDescent="0.3">
      <c r="A32" t="s">
        <v>61</v>
      </c>
      <c r="B32" t="s">
        <v>21</v>
      </c>
      <c r="C32" s="34">
        <v>9</v>
      </c>
      <c r="D32" t="s">
        <v>22</v>
      </c>
      <c r="E32" s="35">
        <v>13</v>
      </c>
      <c r="F32" s="33">
        <v>-50000</v>
      </c>
      <c r="G32" s="27">
        <f>IF(_xlfn.IFNA(INDEX(changes,MATCH(Inputs!A32,scen_var,0),MATCH(scenario,scen_chosen)),0)=0,F32,F32*(1+_xlfn.IFNA(INDEX(changes,MATCH(Inputs!A32,scen_var,0),MATCH(scenario,scen_chosen)),0)))</f>
        <v>-50000</v>
      </c>
    </row>
    <row r="34" spans="1:7" x14ac:dyDescent="0.3">
      <c r="A34" s="11" t="s">
        <v>28</v>
      </c>
    </row>
    <row r="35" spans="1:7" x14ac:dyDescent="0.3">
      <c r="A35" t="s">
        <v>62</v>
      </c>
      <c r="B35" t="s">
        <v>21</v>
      </c>
      <c r="C35" s="34">
        <v>0</v>
      </c>
      <c r="D35" t="s">
        <v>22</v>
      </c>
      <c r="E35" s="35">
        <v>1</v>
      </c>
      <c r="F35" s="39">
        <v>0</v>
      </c>
      <c r="G35" s="12">
        <f>IF(_xlfn.IFNA(INDEX(changes,MATCH(Inputs!A35,scen_var,0),MATCH(scenario,scen_chosen)),0)=0,F35,F35*(1+_xlfn.IFNA(INDEX(changes,MATCH(Inputs!A35,scen_var,0),MATCH(scenario,scen_chosen)),0)))</f>
        <v>0</v>
      </c>
    </row>
    <row r="36" spans="1:7" x14ac:dyDescent="0.3">
      <c r="A36" t="s">
        <v>63</v>
      </c>
      <c r="B36" t="s">
        <v>21</v>
      </c>
      <c r="C36" s="34">
        <v>2</v>
      </c>
      <c r="D36" t="s">
        <v>22</v>
      </c>
      <c r="E36" s="35">
        <v>13</v>
      </c>
      <c r="F36" s="42">
        <f>1/(E36-C36+2)</f>
        <v>7.6923076923076927E-2</v>
      </c>
      <c r="G36" s="12">
        <f>IF(_xlfn.IFNA(INDEX(changes,MATCH(Inputs!A36,scen_var,0),MATCH(scenario,scen_chosen)),0)=0,F36,F36*(1+_xlfn.IFNA(INDEX(changes,MATCH(Inputs!A36,scen_var,0),MATCH(scenario,scen_chosen)),0)))</f>
        <v>7.6923076923076927E-2</v>
      </c>
    </row>
  </sheetData>
  <dataValidations count="2">
    <dataValidation type="list" allowBlank="1" showInputMessage="1" showErrorMessage="1" sqref="B25:B27 D25:D27 B30:B32 D30:D32 B35:B36 D35:D36 A19 C19" xr:uid="{311D2A1B-6763-401B-867A-217635FD4A4C}">
      <formula1>period</formula1>
    </dataValidation>
    <dataValidation type="list" allowBlank="1" showInputMessage="1" showErrorMessage="1" sqref="C25:C27 E25:E27 C30:C32 E30:E32 C35:C36 E35:E36 B19 D19" xr:uid="{1099147F-1937-4353-96EE-8D9A3F8E5C48}">
      <formula1>years</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66343-9DCF-472B-994D-DE0E837307ED}">
  <sheetPr codeName="Sheet3">
    <tabColor theme="8" tint="-0.249977111117893"/>
  </sheetPr>
  <dimension ref="A1:P32"/>
  <sheetViews>
    <sheetView showGridLines="0" zoomScale="85" zoomScaleNormal="85" workbookViewId="0">
      <selection activeCell="B23" sqref="B23"/>
    </sheetView>
  </sheetViews>
  <sheetFormatPr defaultRowHeight="14.4" x14ac:dyDescent="0.3"/>
  <cols>
    <col min="1" max="1" width="24.33203125" customWidth="1"/>
    <col min="2" max="2" width="14.33203125" customWidth="1"/>
    <col min="3" max="3" width="12.44140625" customWidth="1"/>
    <col min="4" max="4" width="12.88671875" customWidth="1"/>
    <col min="5" max="6" width="12" customWidth="1"/>
    <col min="7" max="7" width="13.6640625" customWidth="1"/>
    <col min="8" max="14" width="12" customWidth="1"/>
    <col min="15" max="15" width="12.5546875" customWidth="1"/>
    <col min="16" max="16" width="10.6640625" customWidth="1"/>
  </cols>
  <sheetData>
    <row r="1" spans="1:16" x14ac:dyDescent="0.3">
      <c r="B1" s="78">
        <v>0</v>
      </c>
      <c r="C1" s="79">
        <v>1</v>
      </c>
      <c r="D1" s="79">
        <v>2</v>
      </c>
      <c r="E1" s="79">
        <v>3</v>
      </c>
      <c r="F1" s="79">
        <v>4</v>
      </c>
      <c r="G1" s="79">
        <v>5</v>
      </c>
      <c r="H1" s="79">
        <v>6</v>
      </c>
      <c r="I1" s="79">
        <v>7</v>
      </c>
      <c r="J1" s="79">
        <v>8</v>
      </c>
      <c r="K1" s="79">
        <v>9</v>
      </c>
      <c r="L1" s="79">
        <v>10</v>
      </c>
      <c r="M1" s="79">
        <v>11</v>
      </c>
      <c r="N1" s="79">
        <v>12</v>
      </c>
      <c r="O1" s="79">
        <v>13</v>
      </c>
      <c r="P1" s="80">
        <v>14</v>
      </c>
    </row>
    <row r="2" spans="1:16" x14ac:dyDescent="0.3">
      <c r="A2" s="83" t="s">
        <v>39</v>
      </c>
      <c r="B2" s="82"/>
      <c r="C2" s="82"/>
      <c r="D2" s="82"/>
      <c r="E2" s="82"/>
      <c r="F2" s="82"/>
      <c r="G2" s="82"/>
      <c r="H2" s="82"/>
      <c r="I2" s="82"/>
      <c r="J2" s="82"/>
      <c r="K2" s="82"/>
      <c r="L2" s="82"/>
      <c r="M2" s="82"/>
      <c r="N2" s="82"/>
      <c r="O2" s="82"/>
      <c r="P2" s="84"/>
    </row>
    <row r="3" spans="1:16" x14ac:dyDescent="0.3">
      <c r="A3" s="76" t="s">
        <v>20</v>
      </c>
      <c r="B3" s="13">
        <f>IF(AND(B$1&gt;=Inputs!$C$25,Model!B$1&lt;=Inputs!$E$25),quantity1*price,IF(AND(B$1&gt;=Inputs!$C$26,B$1&lt;=Inputs!$E$26),quantitiy2*price,IF(AND(B$1&gt;=Inputs!$C$27,B$1&lt;=Inputs!$E$27),quantity3*price,0)))</f>
        <v>0</v>
      </c>
      <c r="C3" s="13">
        <f>IF(AND(C$1&gt;=Inputs!$C$25,Model!C$1&lt;=Inputs!$E$25),quantity1*price,IF(AND(C$1&gt;=Inputs!$C$26,C$1&lt;=Inputs!$E$26),quantitiy2*price,IF(AND(C$1&gt;=Inputs!$C$27,C$1&lt;=Inputs!$E$27),quantity3*price,0)))</f>
        <v>0</v>
      </c>
      <c r="D3" s="13">
        <f>IF(AND(D$1&gt;=Inputs!$C$25,Model!D$1&lt;=Inputs!$E$25),quantity1*price,IF(AND(D$1&gt;=Inputs!$C$26,D$1&lt;=Inputs!$E$26),quantitiy2*price,IF(AND(D$1&gt;=Inputs!$C$27,D$1&lt;=Inputs!$E$27),quantity3*price,0)))</f>
        <v>2000000</v>
      </c>
      <c r="E3" s="13">
        <f>IF(AND(E$1&gt;=Inputs!$C$25,Model!E$1&lt;=Inputs!$E$25),quantity1*price,IF(AND(E$1&gt;=Inputs!$C$26,E$1&lt;=Inputs!$E$26),quantitiy2*price,IF(AND(E$1&gt;=Inputs!$C$27,E$1&lt;=Inputs!$E$27),quantity3*price,0)))</f>
        <v>2000000</v>
      </c>
      <c r="F3" s="13">
        <f>IF(AND(F$1&gt;=Inputs!$C$25,Model!F$1&lt;=Inputs!$E$25),quantity1*price,IF(AND(F$1&gt;=Inputs!$C$26,F$1&lt;=Inputs!$E$26),quantitiy2*price,IF(AND(F$1&gt;=Inputs!$C$27,F$1&lt;=Inputs!$E$27),quantity3*price,0)))</f>
        <v>2000000</v>
      </c>
      <c r="G3" s="13">
        <f>IF(AND(G$1&gt;=Inputs!$C$25,Model!G$1&lt;=Inputs!$E$25),quantity1*price,IF(AND(G$1&gt;=Inputs!$C$26,G$1&lt;=Inputs!$E$26),quantitiy2*price,IF(AND(G$1&gt;=Inputs!$C$27,G$1&lt;=Inputs!$E$27),quantity3*price,0)))</f>
        <v>3000000</v>
      </c>
      <c r="H3" s="13">
        <f>IF(AND(H$1&gt;=Inputs!$C$25,Model!H$1&lt;=Inputs!$E$25),quantity1*price,IF(AND(H$1&gt;=Inputs!$C$26,H$1&lt;=Inputs!$E$26),quantitiy2*price,IF(AND(H$1&gt;=Inputs!$C$27,H$1&lt;=Inputs!$E$27),quantity3*price,0)))</f>
        <v>3000000</v>
      </c>
      <c r="I3" s="13">
        <f>IF(AND(I$1&gt;=Inputs!$C$25,Model!I$1&lt;=Inputs!$E$25),quantity1*price,IF(AND(I$1&gt;=Inputs!$C$26,I$1&lt;=Inputs!$E$26),quantitiy2*price,IF(AND(I$1&gt;=Inputs!$C$27,I$1&lt;=Inputs!$E$27),quantity3*price,0)))</f>
        <v>3000000</v>
      </c>
      <c r="J3" s="13">
        <f>IF(AND(J$1&gt;=Inputs!$C$25,Model!J$1&lt;=Inputs!$E$25),quantity1*price,IF(AND(J$1&gt;=Inputs!$C$26,J$1&lt;=Inputs!$E$26),quantitiy2*price,IF(AND(J$1&gt;=Inputs!$C$27,J$1&lt;=Inputs!$E$27),quantity3*price,0)))</f>
        <v>3000000</v>
      </c>
      <c r="K3" s="13">
        <f>IF(AND(K$1&gt;=Inputs!$C$25,Model!K$1&lt;=Inputs!$E$25),quantity1*price,IF(AND(K$1&gt;=Inputs!$C$26,K$1&lt;=Inputs!$E$26),quantitiy2*price,IF(AND(K$1&gt;=Inputs!$C$27,K$1&lt;=Inputs!$E$27),quantity3*price,0)))</f>
        <v>3000000</v>
      </c>
      <c r="L3" s="13">
        <f>IF(AND(L$1&gt;=Inputs!$C$25,Model!L$1&lt;=Inputs!$E$25),quantity1*price,IF(AND(L$1&gt;=Inputs!$C$26,L$1&lt;=Inputs!$E$26),quantitiy2*price,IF(AND(L$1&gt;=Inputs!$C$27,L$1&lt;=Inputs!$E$27),quantity3*price,0)))</f>
        <v>3000000</v>
      </c>
      <c r="M3" s="13">
        <f>IF(AND(M$1&gt;=Inputs!$C$25,Model!M$1&lt;=Inputs!$E$25),quantity1*price,IF(AND(M$1&gt;=Inputs!$C$26,M$1&lt;=Inputs!$E$26),quantitiy2*price,IF(AND(M$1&gt;=Inputs!$C$27,M$1&lt;=Inputs!$E$27),quantity3*price,0)))</f>
        <v>3000000</v>
      </c>
      <c r="N3" s="13">
        <f>IF(AND(N$1&gt;=Inputs!$C$25,Model!N$1&lt;=Inputs!$E$25),quantity1*price,IF(AND(N$1&gt;=Inputs!$C$26,N$1&lt;=Inputs!$E$26),quantitiy2*price,IF(AND(N$1&gt;=Inputs!$C$27,N$1&lt;=Inputs!$E$27),quantity3*price,0)))</f>
        <v>3000000</v>
      </c>
      <c r="O3" s="13">
        <f>IF(AND(O$1&gt;=Inputs!$C$25,Model!O$1&lt;=Inputs!$E$25),quantity1*price,IF(AND(O$1&gt;=Inputs!$C$26,O$1&lt;=Inputs!$E$26),quantitiy2*price,IF(AND(O$1&gt;=Inputs!$C$27,O$1&lt;=Inputs!$E$27),quantity3*price,0)))</f>
        <v>3000000</v>
      </c>
      <c r="P3" s="85">
        <f>IF(AND(P$1&gt;=Inputs!$C$25,Model!P$1&lt;=Inputs!$E$25),quantity1*price,IF(AND(P$1&gt;=Inputs!$C$26,P$1&lt;=Inputs!$E$26),quantitiy2*price,IF(AND(P$1&gt;=Inputs!$C$27,P$1&lt;=Inputs!$E$27),quantity3*price,0)))</f>
        <v>0</v>
      </c>
    </row>
    <row r="4" spans="1:16" ht="15" thickBot="1" x14ac:dyDescent="0.35">
      <c r="A4" s="75" t="s">
        <v>25</v>
      </c>
      <c r="B4" s="15">
        <f>IF(AND(B$1&gt;=Inputs!$C$25,Model!B$1&lt;=Inputs!$E$25),quantity1*vr_cost,IF(AND(B$1&gt;=Inputs!$C$26,B$1&lt;=Inputs!$E$26),quantitiy2*vr_cost,IF(AND(B$1&gt;=Inputs!$C$27,B$1&lt;=Inputs!$E$27),quantity3*vr_cost,0)))</f>
        <v>0</v>
      </c>
      <c r="C4" s="15">
        <f>IF(AND(C$1&gt;=Inputs!$C$25,Model!C$1&lt;=Inputs!$E$25),quantity1*vr_cost,IF(AND(C$1&gt;=Inputs!$C$26,C$1&lt;=Inputs!$E$26),quantitiy2*vr_cost,IF(AND(C$1&gt;=Inputs!$C$27,C$1&lt;=Inputs!$E$27),quantity3*vr_cost,0)))</f>
        <v>0</v>
      </c>
      <c r="D4" s="15">
        <f>IF(AND(D$1&gt;=Inputs!$C$25,Model!D$1&lt;=Inputs!$E$25),quantity1*vr_cost,IF(AND(D$1&gt;=Inputs!$C$26,D$1&lt;=Inputs!$E$26),quantitiy2*vr_cost,IF(AND(D$1&gt;=Inputs!$C$27,D$1&lt;=Inputs!$E$27),quantity3*vr_cost,0)))</f>
        <v>-500000</v>
      </c>
      <c r="E4" s="15">
        <f>IF(AND(E$1&gt;=Inputs!$C$25,Model!E$1&lt;=Inputs!$E$25),quantity1*vr_cost,IF(AND(E$1&gt;=Inputs!$C$26,E$1&lt;=Inputs!$E$26),quantitiy2*vr_cost,IF(AND(E$1&gt;=Inputs!$C$27,E$1&lt;=Inputs!$E$27),quantity3*vr_cost,0)))</f>
        <v>-500000</v>
      </c>
      <c r="F4" s="15">
        <f>IF(AND(F$1&gt;=Inputs!$C$25,Model!F$1&lt;=Inputs!$E$25),quantity1*vr_cost,IF(AND(F$1&gt;=Inputs!$C$26,F$1&lt;=Inputs!$E$26),quantitiy2*vr_cost,IF(AND(F$1&gt;=Inputs!$C$27,F$1&lt;=Inputs!$E$27),quantity3*vr_cost,0)))</f>
        <v>-500000</v>
      </c>
      <c r="G4" s="15">
        <f>IF(AND(G$1&gt;=Inputs!$C$25,Model!G$1&lt;=Inputs!$E$25),quantity1*vr_cost,IF(AND(G$1&gt;=Inputs!$C$26,G$1&lt;=Inputs!$E$26),quantitiy2*vr_cost,IF(AND(G$1&gt;=Inputs!$C$27,G$1&lt;=Inputs!$E$27),quantity3*vr_cost,0)))</f>
        <v>-750000</v>
      </c>
      <c r="H4" s="15">
        <f>IF(AND(H$1&gt;=Inputs!$C$25,Model!H$1&lt;=Inputs!$E$25),quantity1*vr_cost,IF(AND(H$1&gt;=Inputs!$C$26,H$1&lt;=Inputs!$E$26),quantitiy2*vr_cost,IF(AND(H$1&gt;=Inputs!$C$27,H$1&lt;=Inputs!$E$27),quantity3*vr_cost,0)))</f>
        <v>-750000</v>
      </c>
      <c r="I4" s="15">
        <f>IF(AND(I$1&gt;=Inputs!$C$25,Model!I$1&lt;=Inputs!$E$25),quantity1*vr_cost,IF(AND(I$1&gt;=Inputs!$C$26,I$1&lt;=Inputs!$E$26),quantitiy2*vr_cost,IF(AND(I$1&gt;=Inputs!$C$27,I$1&lt;=Inputs!$E$27),quantity3*vr_cost,0)))</f>
        <v>-750000</v>
      </c>
      <c r="J4" s="15">
        <f>IF(AND(J$1&gt;=Inputs!$C$25,Model!J$1&lt;=Inputs!$E$25),quantity1*vr_cost,IF(AND(J$1&gt;=Inputs!$C$26,J$1&lt;=Inputs!$E$26),quantitiy2*vr_cost,IF(AND(J$1&gt;=Inputs!$C$27,J$1&lt;=Inputs!$E$27),quantity3*vr_cost,0)))</f>
        <v>-750000</v>
      </c>
      <c r="K4" s="15">
        <f>IF(AND(K$1&gt;=Inputs!$C$25,Model!K$1&lt;=Inputs!$E$25),quantity1*vr_cost,IF(AND(K$1&gt;=Inputs!$C$26,K$1&lt;=Inputs!$E$26),quantitiy2*vr_cost,IF(AND(K$1&gt;=Inputs!$C$27,K$1&lt;=Inputs!$E$27),quantity3*vr_cost,0)))</f>
        <v>-750000</v>
      </c>
      <c r="L4" s="15">
        <f>IF(AND(L$1&gt;=Inputs!$C$25,Model!L$1&lt;=Inputs!$E$25),quantity1*vr_cost,IF(AND(L$1&gt;=Inputs!$C$26,L$1&lt;=Inputs!$E$26),quantitiy2*vr_cost,IF(AND(L$1&gt;=Inputs!$C$27,L$1&lt;=Inputs!$E$27),quantity3*vr_cost,0)))</f>
        <v>-750000</v>
      </c>
      <c r="M4" s="15">
        <f>IF(AND(M$1&gt;=Inputs!$C$25,Model!M$1&lt;=Inputs!$E$25),quantity1*vr_cost,IF(AND(M$1&gt;=Inputs!$C$26,M$1&lt;=Inputs!$E$26),quantitiy2*vr_cost,IF(AND(M$1&gt;=Inputs!$C$27,M$1&lt;=Inputs!$E$27),quantity3*vr_cost,0)))</f>
        <v>-750000</v>
      </c>
      <c r="N4" s="15">
        <f>IF(AND(N$1&gt;=Inputs!$C$25,Model!N$1&lt;=Inputs!$E$25),quantity1*vr_cost,IF(AND(N$1&gt;=Inputs!$C$26,N$1&lt;=Inputs!$E$26),quantitiy2*vr_cost,IF(AND(N$1&gt;=Inputs!$C$27,N$1&lt;=Inputs!$E$27),quantity3*vr_cost,0)))</f>
        <v>-750000</v>
      </c>
      <c r="O4" s="15">
        <f>IF(AND(O$1&gt;=Inputs!$C$25,Model!O$1&lt;=Inputs!$E$25),quantity1*vr_cost,IF(AND(O$1&gt;=Inputs!$C$26,O$1&lt;=Inputs!$E$26),quantitiy2*vr_cost,IF(AND(O$1&gt;=Inputs!$C$27,O$1&lt;=Inputs!$E$27),quantity3*vr_cost,0)))</f>
        <v>-750000</v>
      </c>
      <c r="P4" s="86">
        <f>IF(AND(P$1&gt;=Inputs!$C$25,Model!P$1&lt;=Inputs!$E$25),quantity1*vr_cost,IF(AND(P$1&gt;=Inputs!$C$26,P$1&lt;=Inputs!$E$26),quantitiy2*vr_cost,IF(AND(P$1&gt;=Inputs!$C$27,P$1&lt;=Inputs!$E$27),quantity3*vr_cost,0)))</f>
        <v>0</v>
      </c>
    </row>
    <row r="5" spans="1:16" ht="15" thickTop="1" x14ac:dyDescent="0.3">
      <c r="A5" s="76" t="s">
        <v>30</v>
      </c>
      <c r="B5" s="13">
        <f>SUM(B3:B4)</f>
        <v>0</v>
      </c>
      <c r="C5" s="13">
        <f>SUM(C3:C4)</f>
        <v>0</v>
      </c>
      <c r="D5" s="13">
        <f>SUM(D3:D4)</f>
        <v>1500000</v>
      </c>
      <c r="E5" s="13">
        <f t="shared" ref="E5:O5" si="0">SUM(E3:E4)</f>
        <v>1500000</v>
      </c>
      <c r="F5" s="13">
        <f t="shared" si="0"/>
        <v>1500000</v>
      </c>
      <c r="G5" s="13">
        <f t="shared" si="0"/>
        <v>2250000</v>
      </c>
      <c r="H5" s="13">
        <f t="shared" si="0"/>
        <v>2250000</v>
      </c>
      <c r="I5" s="13">
        <f t="shared" si="0"/>
        <v>2250000</v>
      </c>
      <c r="J5" s="13">
        <f t="shared" si="0"/>
        <v>2250000</v>
      </c>
      <c r="K5" s="13">
        <f t="shared" si="0"/>
        <v>2250000</v>
      </c>
      <c r="L5" s="13">
        <f t="shared" si="0"/>
        <v>2250000</v>
      </c>
      <c r="M5" s="13">
        <f t="shared" si="0"/>
        <v>2250000</v>
      </c>
      <c r="N5" s="13">
        <f t="shared" si="0"/>
        <v>2250000</v>
      </c>
      <c r="O5" s="13">
        <f t="shared" si="0"/>
        <v>2250000</v>
      </c>
      <c r="P5" s="85">
        <f t="shared" ref="P5" si="1">SUM(P3:P4)</f>
        <v>0</v>
      </c>
    </row>
    <row r="6" spans="1:16" ht="15" thickBot="1" x14ac:dyDescent="0.35">
      <c r="A6" s="75" t="s">
        <v>17</v>
      </c>
      <c r="B6" s="15">
        <f>IF(AND(B$1&gt;=Inputs!$C$35,Model!B$1&lt;=Inputs!$E$35),depreciation1*construction,IF(AND(B$1&gt;=Inputs!$C$36,B$1&lt;=Inputs!$E$36),depreciation2*construction,IF(B1=MAX(years),0,"")))</f>
        <v>0</v>
      </c>
      <c r="C6" s="15">
        <f>IF(AND(C$1&gt;=Inputs!$C$35,Model!C$1&lt;=Inputs!$E$35),depreciation1*construction,IF(AND(C$1&gt;=Inputs!$C$36,C$1&lt;=Inputs!$E$36),depreciation2*construction,IF(C1=MAX(years),0,"")))</f>
        <v>0</v>
      </c>
      <c r="D6" s="15">
        <f>IF(AND(D$1&gt;=Inputs!$C$35,Model!D$1&lt;=Inputs!$E$35),depreciation1*construction,IF(AND(D$1&gt;=Inputs!$C$36,D$1&lt;=Inputs!$E$36),depreciation2*construction,IF(D1=MAX(years),0,"")))</f>
        <v>-769230.76923076925</v>
      </c>
      <c r="E6" s="15">
        <f>IF(AND(E$1&gt;=Inputs!$C$35,Model!E$1&lt;=Inputs!$E$35),depreciation1*construction,IF(AND(E$1&gt;=Inputs!$C$36,E$1&lt;=Inputs!$E$36),depreciation2*construction,IF(E1=MAX(years),0,"")))</f>
        <v>-769230.76923076925</v>
      </c>
      <c r="F6" s="15">
        <f>IF(AND(F$1&gt;=Inputs!$C$35,Model!F$1&lt;=Inputs!$E$35),depreciation1*construction,IF(AND(F$1&gt;=Inputs!$C$36,F$1&lt;=Inputs!$E$36),depreciation2*construction,IF(F1=MAX(years),0,"")))</f>
        <v>-769230.76923076925</v>
      </c>
      <c r="G6" s="15">
        <f>IF(AND(G$1&gt;=Inputs!$C$35,Model!G$1&lt;=Inputs!$E$35),depreciation1*construction,IF(AND(G$1&gt;=Inputs!$C$36,G$1&lt;=Inputs!$E$36),depreciation2*construction,IF(G1=MAX(years),0,"")))</f>
        <v>-769230.76923076925</v>
      </c>
      <c r="H6" s="15">
        <f>IF(AND(H$1&gt;=Inputs!$C$35,Model!H$1&lt;=Inputs!$E$35),depreciation1*construction,IF(AND(H$1&gt;=Inputs!$C$36,H$1&lt;=Inputs!$E$36),depreciation2*construction,IF(H1=MAX(years),0,"")))</f>
        <v>-769230.76923076925</v>
      </c>
      <c r="I6" s="15">
        <f>IF(AND(I$1&gt;=Inputs!$C$35,Model!I$1&lt;=Inputs!$E$35),depreciation1*construction,IF(AND(I$1&gt;=Inputs!$C$36,I$1&lt;=Inputs!$E$36),depreciation2*construction,IF(I1=MAX(years),0,"")))</f>
        <v>-769230.76923076925</v>
      </c>
      <c r="J6" s="15">
        <f>IF(AND(J$1&gt;=Inputs!$C$35,Model!J$1&lt;=Inputs!$E$35),depreciation1*construction,IF(AND(J$1&gt;=Inputs!$C$36,J$1&lt;=Inputs!$E$36),depreciation2*construction,IF(J1=MAX(years),0,"")))</f>
        <v>-769230.76923076925</v>
      </c>
      <c r="K6" s="15">
        <f>IF(AND(K$1&gt;=Inputs!$C$35,Model!K$1&lt;=Inputs!$E$35),depreciation1*construction,IF(AND(K$1&gt;=Inputs!$C$36,K$1&lt;=Inputs!$E$36),depreciation2*construction,IF(K1=MAX(years),0,"")))</f>
        <v>-769230.76923076925</v>
      </c>
      <c r="L6" s="15">
        <f>IF(AND(L$1&gt;=Inputs!$C$35,Model!L$1&lt;=Inputs!$E$35),depreciation1*construction,IF(AND(L$1&gt;=Inputs!$C$36,L$1&lt;=Inputs!$E$36),depreciation2*construction,IF(L1=MAX(years),0,"")))</f>
        <v>-769230.76923076925</v>
      </c>
      <c r="M6" s="15">
        <f>IF(AND(M$1&gt;=Inputs!$C$35,Model!M$1&lt;=Inputs!$E$35),depreciation1*construction,IF(AND(M$1&gt;=Inputs!$C$36,M$1&lt;=Inputs!$E$36),depreciation2*construction,IF(M1=MAX(years),0,"")))</f>
        <v>-769230.76923076925</v>
      </c>
      <c r="N6" s="15">
        <f>IF(AND(N$1&gt;=Inputs!$C$35,Model!N$1&lt;=Inputs!$E$35),depreciation1*construction,IF(AND(N$1&gt;=Inputs!$C$36,N$1&lt;=Inputs!$E$36),depreciation2*construction,IF(N1=MAX(years),0,"")))</f>
        <v>-769230.76923076925</v>
      </c>
      <c r="O6" s="15">
        <f>IF(AND(O$1&gt;=Inputs!$C$35,Model!O$1&lt;=Inputs!$E$35),depreciation1*construction,IF(AND(O$1&gt;=Inputs!$C$36,O$1&lt;=Inputs!$E$36),depreciation2*construction,IF(O1=MAX(years),0,"")))</f>
        <v>-769230.76923076925</v>
      </c>
      <c r="P6" s="86">
        <f>IF(AND(P$1&gt;=Inputs!$C$35,Model!P$1&lt;=Inputs!$E$35),depreciation1*construction,IF(AND(P$1&gt;=Inputs!$C$36,P$1&lt;=Inputs!$E$36),depreciation2*construction,IF(P1=MAX(years),0,"")))</f>
        <v>0</v>
      </c>
    </row>
    <row r="7" spans="1:16" ht="15" thickTop="1" x14ac:dyDescent="0.3">
      <c r="A7" s="76" t="s">
        <v>31</v>
      </c>
      <c r="B7" s="13">
        <f>SUM(B5:B6)</f>
        <v>0</v>
      </c>
      <c r="C7" s="13">
        <f t="shared" ref="C7:O7" si="2">SUM(C5:C6)</f>
        <v>0</v>
      </c>
      <c r="D7" s="13">
        <f t="shared" si="2"/>
        <v>730769.23076923075</v>
      </c>
      <c r="E7" s="13">
        <f>SUM(E5:E6)</f>
        <v>730769.23076923075</v>
      </c>
      <c r="F7" s="13">
        <f t="shared" si="2"/>
        <v>730769.23076923075</v>
      </c>
      <c r="G7" s="13">
        <f t="shared" si="2"/>
        <v>1480769.2307692308</v>
      </c>
      <c r="H7" s="13">
        <f t="shared" si="2"/>
        <v>1480769.2307692308</v>
      </c>
      <c r="I7" s="13">
        <f t="shared" si="2"/>
        <v>1480769.2307692308</v>
      </c>
      <c r="J7" s="13">
        <f t="shared" si="2"/>
        <v>1480769.2307692308</v>
      </c>
      <c r="K7" s="13">
        <f t="shared" si="2"/>
        <v>1480769.2307692308</v>
      </c>
      <c r="L7" s="13">
        <f t="shared" si="2"/>
        <v>1480769.2307692308</v>
      </c>
      <c r="M7" s="13">
        <f t="shared" si="2"/>
        <v>1480769.2307692308</v>
      </c>
      <c r="N7" s="13">
        <f t="shared" si="2"/>
        <v>1480769.2307692308</v>
      </c>
      <c r="O7" s="13">
        <f t="shared" si="2"/>
        <v>1480769.2307692308</v>
      </c>
      <c r="P7" s="85">
        <f t="shared" ref="P7" si="3">SUM(P5:P6)</f>
        <v>0</v>
      </c>
    </row>
    <row r="8" spans="1:16" ht="15" thickBot="1" x14ac:dyDescent="0.35">
      <c r="A8" s="75" t="s">
        <v>32</v>
      </c>
      <c r="B8" s="15">
        <f t="shared" ref="B8:O8" si="4">B7*-tax_rate</f>
        <v>0</v>
      </c>
      <c r="C8" s="15">
        <f t="shared" si="4"/>
        <v>0</v>
      </c>
      <c r="D8" s="15">
        <f>D7*-tax_rate</f>
        <v>-146153.84615384616</v>
      </c>
      <c r="E8" s="15">
        <f>E7*-tax_rate</f>
        <v>-146153.84615384616</v>
      </c>
      <c r="F8" s="15">
        <f t="shared" si="4"/>
        <v>-146153.84615384616</v>
      </c>
      <c r="G8" s="15">
        <f>G7*-tax_rate</f>
        <v>-296153.84615384619</v>
      </c>
      <c r="H8" s="15">
        <f t="shared" si="4"/>
        <v>-296153.84615384619</v>
      </c>
      <c r="I8" s="15">
        <f t="shared" si="4"/>
        <v>-296153.84615384619</v>
      </c>
      <c r="J8" s="15">
        <f t="shared" si="4"/>
        <v>-296153.84615384619</v>
      </c>
      <c r="K8" s="15">
        <f t="shared" si="4"/>
        <v>-296153.84615384619</v>
      </c>
      <c r="L8" s="15">
        <f t="shared" si="4"/>
        <v>-296153.84615384619</v>
      </c>
      <c r="M8" s="15">
        <f t="shared" si="4"/>
        <v>-296153.84615384619</v>
      </c>
      <c r="N8" s="15">
        <f t="shared" si="4"/>
        <v>-296153.84615384619</v>
      </c>
      <c r="O8" s="15">
        <f t="shared" si="4"/>
        <v>-296153.84615384619</v>
      </c>
      <c r="P8" s="86">
        <f t="shared" ref="P8" si="5">P7*-tax_rate</f>
        <v>0</v>
      </c>
    </row>
    <row r="9" spans="1:16" ht="15" thickTop="1" x14ac:dyDescent="0.3">
      <c r="A9" s="77" t="s">
        <v>33</v>
      </c>
      <c r="B9" s="95">
        <f>SUM(B7:B8)</f>
        <v>0</v>
      </c>
      <c r="C9" s="96">
        <f t="shared" ref="C9:O9" si="6">SUM(C7:C8)</f>
        <v>0</v>
      </c>
      <c r="D9" s="96">
        <f t="shared" si="6"/>
        <v>584615.38461538462</v>
      </c>
      <c r="E9" s="96">
        <f t="shared" si="6"/>
        <v>584615.38461538462</v>
      </c>
      <c r="F9" s="96">
        <f t="shared" si="6"/>
        <v>584615.38461538462</v>
      </c>
      <c r="G9" s="96">
        <f t="shared" si="6"/>
        <v>1184615.3846153845</v>
      </c>
      <c r="H9" s="96">
        <f t="shared" si="6"/>
        <v>1184615.3846153845</v>
      </c>
      <c r="I9" s="96">
        <f t="shared" si="6"/>
        <v>1184615.3846153845</v>
      </c>
      <c r="J9" s="96">
        <f t="shared" si="6"/>
        <v>1184615.3846153845</v>
      </c>
      <c r="K9" s="96">
        <f t="shared" si="6"/>
        <v>1184615.3846153845</v>
      </c>
      <c r="L9" s="96">
        <f t="shared" si="6"/>
        <v>1184615.3846153845</v>
      </c>
      <c r="M9" s="96">
        <f t="shared" si="6"/>
        <v>1184615.3846153845</v>
      </c>
      <c r="N9" s="96">
        <f t="shared" si="6"/>
        <v>1184615.3846153845</v>
      </c>
      <c r="O9" s="96">
        <f t="shared" si="6"/>
        <v>1184615.3846153845</v>
      </c>
      <c r="P9" s="97">
        <f t="shared" ref="P9" si="7">SUM(P7:P8)</f>
        <v>0</v>
      </c>
    </row>
    <row r="10" spans="1:16" x14ac:dyDescent="0.3">
      <c r="A10" s="81" t="s">
        <v>34</v>
      </c>
      <c r="B10" s="82"/>
      <c r="C10" s="82"/>
      <c r="D10" s="82"/>
      <c r="E10" s="82"/>
      <c r="F10" s="82"/>
      <c r="G10" s="82"/>
      <c r="H10" s="82"/>
      <c r="I10" s="82"/>
      <c r="J10" s="82"/>
      <c r="K10" s="82"/>
      <c r="L10" s="82"/>
      <c r="M10" s="82"/>
      <c r="N10" s="82"/>
      <c r="O10" s="82"/>
      <c r="P10" s="84"/>
    </row>
    <row r="11" spans="1:16" x14ac:dyDescent="0.3">
      <c r="A11" s="76" t="s">
        <v>6</v>
      </c>
      <c r="B11" s="13">
        <f>IF(AND(B1&gt;=Inputs!$B$19,B1&lt;=Inputs!$D$19),Inputs!$E$19,0)</f>
        <v>-5000000</v>
      </c>
      <c r="C11" s="13">
        <f>IF(AND(C1&gt;=Inputs!$B$19,C1&lt;=Inputs!$D$19),Inputs!$E$19,0)</f>
        <v>-5000000</v>
      </c>
      <c r="D11" s="13">
        <f>IF(AND(D1&gt;=Inputs!$B$19,D1&lt;=Inputs!$D$19),Inputs!$E$19,0)</f>
        <v>0</v>
      </c>
      <c r="E11" s="13">
        <f>IF(AND(E1&gt;=Inputs!$B$19,E1&lt;=Inputs!$D$19),Inputs!$E$19,0)</f>
        <v>0</v>
      </c>
      <c r="F11" s="13">
        <f>IF(AND(F1&gt;=Inputs!$B$19,F1&lt;=Inputs!$D$19),Inputs!$E$19,0)</f>
        <v>0</v>
      </c>
      <c r="G11" s="13">
        <f>IF(AND(G1&gt;=Inputs!$B$19,G1&lt;=Inputs!$D$19),Inputs!$E$19,0)</f>
        <v>0</v>
      </c>
      <c r="H11" s="13">
        <f>IF(AND(H1&gt;=Inputs!$B$19,H1&lt;=Inputs!$D$19),Inputs!$E$19,0)</f>
        <v>0</v>
      </c>
      <c r="I11" s="13">
        <f>IF(AND(I1&gt;=Inputs!$B$19,I1&lt;=Inputs!$D$19),Inputs!$E$19,0)</f>
        <v>0</v>
      </c>
      <c r="J11" s="13">
        <f>IF(AND(J1&gt;=Inputs!$B$19,J1&lt;=Inputs!$D$19),Inputs!$E$19,0)</f>
        <v>0</v>
      </c>
      <c r="K11" s="13">
        <f>IF(AND(K1&gt;=Inputs!$B$19,K1&lt;=Inputs!$D$19),Inputs!$E$19,0)</f>
        <v>0</v>
      </c>
      <c r="L11" s="13">
        <f>IF(AND(L1&gt;=Inputs!$B$19,L1&lt;=Inputs!$D$19),Inputs!$E$19,0)</f>
        <v>0</v>
      </c>
      <c r="M11" s="13">
        <f>IF(AND(M1&gt;=Inputs!$B$19,M1&lt;=Inputs!$D$19),Inputs!$E$19,0)</f>
        <v>0</v>
      </c>
      <c r="N11" s="13">
        <f>IF(AND(N1&gt;=Inputs!$B$19,N1&lt;=Inputs!$D$19),Inputs!$E$19,0)</f>
        <v>0</v>
      </c>
      <c r="O11" s="13">
        <f>IF(AND(O1&gt;=Inputs!$B$19,O1&lt;=Inputs!$D$19),Inputs!$E$19,0)</f>
        <v>0</v>
      </c>
      <c r="P11" s="85">
        <f>IF(AND(P1&gt;=Inputs!$B$19,P1&lt;=Inputs!$D$19),Inputs!$E$19,0)</f>
        <v>0</v>
      </c>
    </row>
    <row r="12" spans="1:16" x14ac:dyDescent="0.3">
      <c r="A12" s="76" t="s">
        <v>35</v>
      </c>
      <c r="B12" s="13">
        <f>IF(AND(B$1&gt;=Inputs!$C$30,Model!B$1&lt;=Inputs!$E$30),wc_1,IF(AND(B$1&gt;=Inputs!$C$31,B$1&lt;=Inputs!$E$31),wc_2,IF(AND(B$1&gt;=Inputs!$C$32,B$1&lt;=Inputs!$E$32),wc_3,0)))</f>
        <v>0</v>
      </c>
      <c r="C12" s="13">
        <f>IF(AND(C$1&gt;=Inputs!$C$30,Model!C$1&lt;=Inputs!$E$30),wc_1,IF(AND(C$1&gt;=Inputs!$C$31,C$1&lt;=Inputs!$E$31),wc_2,IF(AND(C$1&gt;=Inputs!$C$32,C$1&lt;=Inputs!$E$32),wc_3,0)))</f>
        <v>0</v>
      </c>
      <c r="D12" s="13">
        <f>IF(AND(D$1&gt;=Inputs!$C$30,Model!D$1&lt;=Inputs!$E$30),wc_1,IF(AND(D$1&gt;=Inputs!$C$31,D$1&lt;=Inputs!$E$31),wc_2,IF(AND(D$1&gt;=Inputs!$C$32,D$1&lt;=Inputs!$E$32),wc_3,0)))</f>
        <v>50000</v>
      </c>
      <c r="E12" s="13">
        <f>IF(AND(E$1&gt;=Inputs!$C$30,Model!E$1&lt;=Inputs!$E$30),wc_1,IF(AND(E$1&gt;=Inputs!$C$31,E$1&lt;=Inputs!$E$31),wc_2,IF(AND(E$1&gt;=Inputs!$C$32,E$1&lt;=Inputs!$E$32),wc_3,0)))</f>
        <v>50000</v>
      </c>
      <c r="F12" s="13">
        <f>IF(AND(F$1&gt;=Inputs!$C$30,Model!F$1&lt;=Inputs!$E$30),wc_1,IF(AND(F$1&gt;=Inputs!$C$31,F$1&lt;=Inputs!$E$31),wc_2,IF(AND(F$1&gt;=Inputs!$C$32,F$1&lt;=Inputs!$E$32),wc_3,0)))</f>
        <v>50000</v>
      </c>
      <c r="G12" s="13">
        <f>IF(AND(G$1&gt;=Inputs!$C$30,Model!G$1&lt;=Inputs!$E$30),wc_1,IF(AND(G$1&gt;=Inputs!$C$31,G$1&lt;=Inputs!$E$31),wc_2,IF(AND(G$1&gt;=Inputs!$C$32,G$1&lt;=Inputs!$E$32),wc_3,0)))</f>
        <v>50000</v>
      </c>
      <c r="H12" s="13">
        <f>IF(AND(H$1&gt;=Inputs!$C$30,Model!H$1&lt;=Inputs!$E$30),wc_1,IF(AND(H$1&gt;=Inputs!$C$31,H$1&lt;=Inputs!$E$31),wc_2,IF(AND(H$1&gt;=Inputs!$C$32,H$1&lt;=Inputs!$E$32),wc_3,0)))</f>
        <v>50000</v>
      </c>
      <c r="I12" s="13">
        <f>IF(AND(I$1&gt;=Inputs!$C$30,Model!I$1&lt;=Inputs!$E$30),wc_1,IF(AND(I$1&gt;=Inputs!$C$31,I$1&lt;=Inputs!$E$31),wc_2,IF(AND(I$1&gt;=Inputs!$C$32,I$1&lt;=Inputs!$E$32),wc_3,0)))</f>
        <v>0</v>
      </c>
      <c r="J12" s="13">
        <f>IF(AND(J$1&gt;=Inputs!$C$30,Model!J$1&lt;=Inputs!$E$30),wc_1,IF(AND(J$1&gt;=Inputs!$C$31,J$1&lt;=Inputs!$E$31),wc_2,IF(AND(J$1&gt;=Inputs!$C$32,J$1&lt;=Inputs!$E$32),wc_3,0)))</f>
        <v>0</v>
      </c>
      <c r="K12" s="13">
        <f>IF(AND(K$1&gt;=Inputs!$C$30,Model!K$1&lt;=Inputs!$E$30),wc_1,IF(AND(K$1&gt;=Inputs!$C$31,K$1&lt;=Inputs!$E$31),wc_2,IF(AND(K$1&gt;=Inputs!$C$32,K$1&lt;=Inputs!$E$32),wc_3,0)))</f>
        <v>-50000</v>
      </c>
      <c r="L12" s="13">
        <f>IF(AND(L$1&gt;=Inputs!$C$30,Model!L$1&lt;=Inputs!$E$30),wc_1,IF(AND(L$1&gt;=Inputs!$C$31,L$1&lt;=Inputs!$E$31),wc_2,IF(AND(L$1&gt;=Inputs!$C$32,L$1&lt;=Inputs!$E$32),wc_3,0)))</f>
        <v>-50000</v>
      </c>
      <c r="M12" s="13">
        <f>IF(AND(M$1&gt;=Inputs!$C$30,Model!M$1&lt;=Inputs!$E$30),wc_1,IF(AND(M$1&gt;=Inputs!$C$31,M$1&lt;=Inputs!$E$31),wc_2,IF(AND(M$1&gt;=Inputs!$C$32,M$1&lt;=Inputs!$E$32),wc_3,0)))</f>
        <v>-50000</v>
      </c>
      <c r="N12" s="13">
        <f>IF(AND(N$1&gt;=Inputs!$C$30,Model!N$1&lt;=Inputs!$E$30),wc_1,IF(AND(N$1&gt;=Inputs!$C$31,N$1&lt;=Inputs!$E$31),wc_2,IF(AND(N$1&gt;=Inputs!$C$32,N$1&lt;=Inputs!$E$32),wc_3,0)))</f>
        <v>-50000</v>
      </c>
      <c r="O12" s="13">
        <f>IF(AND(O$1&gt;=Inputs!$C$30,Model!O$1&lt;=Inputs!$E$30),wc_1,IF(AND(O$1&gt;=Inputs!$C$31,O$1&lt;=Inputs!$E$31),wc_2,IF(AND(O$1&gt;=Inputs!$C$32,O$1&lt;=Inputs!$E$32),wc_3,0)))</f>
        <v>-50000</v>
      </c>
      <c r="P12" s="85">
        <f>IF(AND(P$1&gt;=Inputs!$C$30,Model!P$1&lt;=Inputs!$E$30),wc_1,IF(AND(P$1&gt;=Inputs!$C$31,P$1&lt;=Inputs!$E$31),wc_2,IF(AND(P$1&gt;=Inputs!$C$32,P$1&lt;=Inputs!$E$32),wc_3,0)))</f>
        <v>0</v>
      </c>
    </row>
    <row r="13" spans="1:16" x14ac:dyDescent="0.3">
      <c r="A13" s="76" t="s">
        <v>40</v>
      </c>
      <c r="B13" s="13">
        <f>-B6</f>
        <v>0</v>
      </c>
      <c r="C13" s="13">
        <f t="shared" ref="C13:O13" si="8">-C6</f>
        <v>0</v>
      </c>
      <c r="D13" s="13">
        <f t="shared" si="8"/>
        <v>769230.76923076925</v>
      </c>
      <c r="E13" s="13">
        <f>-E6</f>
        <v>769230.76923076925</v>
      </c>
      <c r="F13" s="13">
        <f t="shared" si="8"/>
        <v>769230.76923076925</v>
      </c>
      <c r="G13" s="13">
        <f t="shared" si="8"/>
        <v>769230.76923076925</v>
      </c>
      <c r="H13" s="13">
        <f t="shared" si="8"/>
        <v>769230.76923076925</v>
      </c>
      <c r="I13" s="13">
        <f t="shared" si="8"/>
        <v>769230.76923076925</v>
      </c>
      <c r="J13" s="13">
        <f t="shared" si="8"/>
        <v>769230.76923076925</v>
      </c>
      <c r="K13" s="13">
        <f t="shared" si="8"/>
        <v>769230.76923076925</v>
      </c>
      <c r="L13" s="13">
        <f t="shared" si="8"/>
        <v>769230.76923076925</v>
      </c>
      <c r="M13" s="13">
        <f t="shared" si="8"/>
        <v>769230.76923076925</v>
      </c>
      <c r="N13" s="13">
        <f t="shared" si="8"/>
        <v>769230.76923076925</v>
      </c>
      <c r="O13" s="13">
        <f t="shared" si="8"/>
        <v>769230.76923076925</v>
      </c>
      <c r="P13" s="85">
        <f t="shared" ref="P13" si="9">-P6</f>
        <v>0</v>
      </c>
    </row>
    <row r="14" spans="1:16" ht="15" thickBot="1" x14ac:dyDescent="0.35">
      <c r="A14" s="75" t="s">
        <v>45</v>
      </c>
      <c r="B14" s="15">
        <f>IF(Model!B1=MAX(years),scrap,0)</f>
        <v>0</v>
      </c>
      <c r="C14" s="15">
        <f>IF(Model!C1=MAX(years),scrap,0)</f>
        <v>0</v>
      </c>
      <c r="D14" s="15">
        <f>IF(Model!D1=MAX(years),scrap,0)</f>
        <v>0</v>
      </c>
      <c r="E14" s="15">
        <f>IF(Model!E1=MAX(years),scrap,0)</f>
        <v>0</v>
      </c>
      <c r="F14" s="15">
        <f>IF(Model!F1=MAX(years),scrap,0)</f>
        <v>0</v>
      </c>
      <c r="G14" s="15">
        <f>IF(Model!G1=MAX(years),scrap,0)</f>
        <v>0</v>
      </c>
      <c r="H14" s="15">
        <f>IF(Model!H1=MAX(years),scrap,0)</f>
        <v>0</v>
      </c>
      <c r="I14" s="15">
        <f>IF(Model!I1=MAX(years),scrap,0)</f>
        <v>0</v>
      </c>
      <c r="J14" s="15">
        <f>IF(Model!J1=MAX(years),scrap,0)</f>
        <v>0</v>
      </c>
      <c r="K14" s="15">
        <f>IF(Model!K1=MAX(years),scrap,0)</f>
        <v>0</v>
      </c>
      <c r="L14" s="15">
        <f>IF(Model!L1=MAX(years),scrap,0)</f>
        <v>0</v>
      </c>
      <c r="M14" s="15">
        <f>IF(Model!M1=MAX(years),scrap,0)</f>
        <v>0</v>
      </c>
      <c r="N14" s="15">
        <f>IF(Model!N1=MAX(years),scrap,0)</f>
        <v>0</v>
      </c>
      <c r="O14" s="15">
        <f>IF(Model!O1=MAX(years),scrap,0)</f>
        <v>0</v>
      </c>
      <c r="P14" s="86">
        <f>IF(Model!P1=MAX(years),scrap,0)</f>
        <v>769230.76923076995</v>
      </c>
    </row>
    <row r="15" spans="1:16" ht="15" thickTop="1" x14ac:dyDescent="0.3">
      <c r="A15" s="98" t="s">
        <v>36</v>
      </c>
      <c r="B15" s="96">
        <f>SUM(B9,B11:B14)</f>
        <v>-5000000</v>
      </c>
      <c r="C15" s="96">
        <f t="shared" ref="C15:P15" si="10">SUM(C9,C11:C14)</f>
        <v>-5000000</v>
      </c>
      <c r="D15" s="96">
        <f t="shared" si="10"/>
        <v>1403846.153846154</v>
      </c>
      <c r="E15" s="96">
        <f t="shared" si="10"/>
        <v>1403846.153846154</v>
      </c>
      <c r="F15" s="96">
        <f t="shared" si="10"/>
        <v>1403846.153846154</v>
      </c>
      <c r="G15" s="96">
        <f>SUM(G9,G11:G14)</f>
        <v>2003846.1538461538</v>
      </c>
      <c r="H15" s="96">
        <f t="shared" si="10"/>
        <v>2003846.1538461538</v>
      </c>
      <c r="I15" s="96">
        <f t="shared" si="10"/>
        <v>1953846.1538461538</v>
      </c>
      <c r="J15" s="96">
        <f t="shared" si="10"/>
        <v>1953846.1538461538</v>
      </c>
      <c r="K15" s="96">
        <f t="shared" si="10"/>
        <v>1903846.1538461538</v>
      </c>
      <c r="L15" s="96">
        <f t="shared" si="10"/>
        <v>1903846.1538461538</v>
      </c>
      <c r="M15" s="96">
        <f t="shared" si="10"/>
        <v>1903846.1538461538</v>
      </c>
      <c r="N15" s="96">
        <f t="shared" si="10"/>
        <v>1903846.1538461538</v>
      </c>
      <c r="O15" s="96">
        <f t="shared" si="10"/>
        <v>1903846.1538461538</v>
      </c>
      <c r="P15" s="97">
        <f t="shared" si="10"/>
        <v>769230.76923076995</v>
      </c>
    </row>
    <row r="16" spans="1:16" x14ac:dyDescent="0.3">
      <c r="A16" s="81" t="s">
        <v>108</v>
      </c>
      <c r="B16" s="82"/>
      <c r="C16" s="82"/>
      <c r="D16" s="82"/>
      <c r="E16" s="82"/>
      <c r="F16" s="82"/>
      <c r="G16" s="82"/>
      <c r="H16" s="82"/>
      <c r="I16" s="82"/>
      <c r="J16" s="82"/>
      <c r="K16" s="82"/>
      <c r="L16" s="82"/>
      <c r="M16" s="82"/>
      <c r="N16" s="82"/>
      <c r="O16" s="82"/>
      <c r="P16" s="84"/>
    </row>
    <row r="17" spans="1:16" x14ac:dyDescent="0.3">
      <c r="A17" s="99" t="s">
        <v>37</v>
      </c>
      <c r="B17" s="13">
        <f>B15/((1+real_wacc)^B1)</f>
        <v>-5000000</v>
      </c>
      <c r="C17" s="13">
        <f t="shared" ref="C17:O17" si="11">C15/((1+real_wacc)^C1)</f>
        <v>-4716981.1320754718</v>
      </c>
      <c r="D17" s="13">
        <f t="shared" si="11"/>
        <v>1249418.0792507599</v>
      </c>
      <c r="E17" s="13">
        <f t="shared" si="11"/>
        <v>1178696.301179962</v>
      </c>
      <c r="F17" s="13">
        <f>F15/((1+real_wacc)^F1)</f>
        <v>1111977.6426226057</v>
      </c>
      <c r="G17" s="13">
        <f t="shared" si="11"/>
        <v>1497390.4156277524</v>
      </c>
      <c r="H17" s="13">
        <f t="shared" si="11"/>
        <v>1412632.4675733512</v>
      </c>
      <c r="I17" s="13">
        <f t="shared" si="11"/>
        <v>1299419.2835390258</v>
      </c>
      <c r="J17" s="13">
        <f t="shared" si="11"/>
        <v>1225867.2486217225</v>
      </c>
      <c r="K17" s="13">
        <f t="shared" si="11"/>
        <v>1126883.6132590859</v>
      </c>
      <c r="L17" s="13">
        <f t="shared" si="11"/>
        <v>1063097.7483576282</v>
      </c>
      <c r="M17" s="13">
        <f t="shared" si="11"/>
        <v>1002922.4041109699</v>
      </c>
      <c r="N17" s="13">
        <f t="shared" si="11"/>
        <v>946153.21142544318</v>
      </c>
      <c r="O17" s="13">
        <f t="shared" si="11"/>
        <v>892597.36926928593</v>
      </c>
      <c r="P17" s="85">
        <f>P15/((1+real_wacc)^P1)</f>
        <v>340231.51106128714</v>
      </c>
    </row>
    <row r="18" spans="1:16" x14ac:dyDescent="0.3">
      <c r="A18" s="77" t="s">
        <v>38</v>
      </c>
      <c r="B18" s="87">
        <f>SUM($B$17:B17)</f>
        <v>-5000000</v>
      </c>
      <c r="C18" s="87">
        <f>SUM($B$17:C17)</f>
        <v>-9716981.1320754718</v>
      </c>
      <c r="D18" s="87">
        <f>SUM($B$17:D17)</f>
        <v>-8467563.0528247114</v>
      </c>
      <c r="E18" s="87">
        <f>SUM($B$17:E17)</f>
        <v>-7288866.7516447492</v>
      </c>
      <c r="F18" s="87">
        <f>SUM($B$17:F17)</f>
        <v>-6176889.1090221433</v>
      </c>
      <c r="G18" s="87">
        <f>SUM($B$17:G17)</f>
        <v>-4679498.6933943909</v>
      </c>
      <c r="H18" s="87">
        <f>SUM($B$17:H17)</f>
        <v>-3266866.2258210396</v>
      </c>
      <c r="I18" s="87">
        <f>SUM($B$17:I17)</f>
        <v>-1967446.9422820138</v>
      </c>
      <c r="J18" s="87">
        <f>SUM($B$17:J17)</f>
        <v>-741579.69366029138</v>
      </c>
      <c r="K18" s="87">
        <f>SUM($B$17:K17)</f>
        <v>385303.91959879454</v>
      </c>
      <c r="L18" s="87">
        <f>SUM($B$17:L17)</f>
        <v>1448401.6679564228</v>
      </c>
      <c r="M18" s="87">
        <f>SUM($B$17:M17)</f>
        <v>2451324.0720673925</v>
      </c>
      <c r="N18" s="87">
        <f>SUM($B$17:N17)</f>
        <v>3397477.2834928357</v>
      </c>
      <c r="O18" s="87">
        <f>SUM($B$17:O17)</f>
        <v>4290074.6527621215</v>
      </c>
      <c r="P18" s="88">
        <f>SUM($B$17:P17)</f>
        <v>4630306.163823409</v>
      </c>
    </row>
    <row r="19" spans="1:16" x14ac:dyDescent="0.3">
      <c r="A19" s="93" t="s">
        <v>109</v>
      </c>
      <c r="B19" s="94"/>
    </row>
    <row r="20" spans="1:16" x14ac:dyDescent="0.3">
      <c r="A20" s="100" t="s">
        <v>41</v>
      </c>
      <c r="B20" s="89">
        <f>B15+NPV(real_wacc,C15:P15)</f>
        <v>4630306.163823409</v>
      </c>
    </row>
    <row r="21" spans="1:16" x14ac:dyDescent="0.3">
      <c r="A21" s="101" t="s">
        <v>42</v>
      </c>
      <c r="B21" s="90">
        <f>IRR(B15:P15)</f>
        <v>0.12568943558206569</v>
      </c>
    </row>
    <row r="22" spans="1:16" x14ac:dyDescent="0.3">
      <c r="A22" s="101" t="s">
        <v>43</v>
      </c>
      <c r="B22" s="91">
        <f>B20/-construction</f>
        <v>0.46303061638234089</v>
      </c>
      <c r="C22" s="13"/>
      <c r="D22" s="13"/>
      <c r="E22" s="13"/>
      <c r="F22" s="13"/>
      <c r="G22" s="13"/>
      <c r="H22" s="13"/>
      <c r="I22" s="13"/>
      <c r="J22" s="13"/>
      <c r="K22" s="13"/>
      <c r="L22" s="13"/>
      <c r="M22" s="13"/>
      <c r="N22" s="13"/>
      <c r="O22" s="13"/>
    </row>
    <row r="23" spans="1:16" x14ac:dyDescent="0.3">
      <c r="A23" s="102" t="s">
        <v>44</v>
      </c>
      <c r="B23" s="92" cm="1">
        <f t="array" ref="B23">_xlfn.XLOOKUP(MIN(IF(B18:P18&gt;0,B18:P18)),B18:P18,years)</f>
        <v>9</v>
      </c>
    </row>
    <row r="28" spans="1:16" x14ac:dyDescent="0.3">
      <c r="A28" s="93" t="s">
        <v>46</v>
      </c>
      <c r="B28" s="94"/>
      <c r="C28" s="93"/>
      <c r="D28" s="94"/>
    </row>
    <row r="29" spans="1:16" x14ac:dyDescent="0.3">
      <c r="A29" t="s">
        <v>48</v>
      </c>
      <c r="B29" t="s">
        <v>49</v>
      </c>
      <c r="C29" t="s">
        <v>50</v>
      </c>
      <c r="D29" t="s">
        <v>47</v>
      </c>
    </row>
    <row r="30" spans="1:16" x14ac:dyDescent="0.3">
      <c r="A30">
        <f t="shared" ref="A30" si="12">ROW(A1)</f>
        <v>1</v>
      </c>
      <c r="B30" s="52">
        <v>-1.0458682957851901</v>
      </c>
      <c r="C30" s="36">
        <v>1.4541317042148094</v>
      </c>
      <c r="D30" s="37">
        <v>-15674439.121399716</v>
      </c>
    </row>
    <row r="31" spans="1:16" x14ac:dyDescent="0.3">
      <c r="A31">
        <f>ROW(A2)</f>
        <v>2</v>
      </c>
      <c r="B31" s="52">
        <v>-1.1047651851051783</v>
      </c>
      <c r="C31" s="36">
        <v>1.3487144160405768</v>
      </c>
      <c r="D31" s="37">
        <v>-17965466.888590507</v>
      </c>
    </row>
    <row r="32" spans="1:16" x14ac:dyDescent="0.3">
      <c r="A32">
        <f>ROW(A3)</f>
        <v>3</v>
      </c>
      <c r="B32" s="52">
        <v>-0.96713509216347682</v>
      </c>
      <c r="C32" s="36">
        <v>1.4290571095779732</v>
      </c>
      <c r="D32" s="37">
        <v>-16944642.11129586</v>
      </c>
    </row>
  </sheetData>
  <pageMargins left="0.7" right="0.7" top="0.75" bottom="0.75" header="0.3" footer="0.3"/>
  <pageSetup paperSize="9" orientation="portrait" r:id="rId1"/>
  <ignoredErrors>
    <ignoredError sqref="B8 C6 C8 E6:P6 F8 H8:P8" formula="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EAC6E-607E-4140-B98B-E4F0732D57E7}">
  <sheetPr codeName="Sheet2">
    <tabColor theme="8" tint="-0.249977111117893"/>
  </sheetPr>
  <dimension ref="A1:Y31"/>
  <sheetViews>
    <sheetView showGridLines="0" zoomScaleNormal="100" workbookViewId="0">
      <selection activeCell="B7" sqref="B7"/>
    </sheetView>
  </sheetViews>
  <sheetFormatPr defaultRowHeight="14.4" x14ac:dyDescent="0.3"/>
  <cols>
    <col min="1" max="1" width="25.5546875" customWidth="1"/>
    <col min="3" max="4" width="10.44140625" bestFit="1" customWidth="1"/>
    <col min="5" max="7" width="9.6640625" bestFit="1" customWidth="1"/>
    <col min="8" max="8" width="14.88671875" bestFit="1" customWidth="1"/>
    <col min="9" max="11" width="9.6640625" bestFit="1" customWidth="1"/>
    <col min="12" max="13" width="10.6640625" bestFit="1" customWidth="1"/>
    <col min="15" max="15" width="6.6640625" customWidth="1"/>
    <col min="16" max="16" width="7.33203125" customWidth="1"/>
    <col min="17" max="17" width="6.88671875" customWidth="1"/>
    <col min="18" max="18" width="7.109375" customWidth="1"/>
    <col min="19" max="19" width="6.44140625" customWidth="1"/>
    <col min="20" max="20" width="6.6640625" customWidth="1"/>
    <col min="21" max="21" width="6.5546875" customWidth="1"/>
    <col min="22" max="22" width="6.6640625" customWidth="1"/>
    <col min="23" max="23" width="5.6640625" customWidth="1"/>
    <col min="24" max="25" width="6.33203125" customWidth="1"/>
  </cols>
  <sheetData>
    <row r="1" spans="1:25" x14ac:dyDescent="0.3">
      <c r="C1" s="1" t="s">
        <v>41</v>
      </c>
      <c r="D1" s="2"/>
      <c r="E1" s="2"/>
      <c r="F1" s="2"/>
      <c r="G1" s="2"/>
      <c r="H1" s="2"/>
      <c r="I1" s="2"/>
      <c r="J1" s="2"/>
      <c r="K1" s="2"/>
      <c r="L1" s="2"/>
      <c r="M1" s="2"/>
      <c r="O1" s="1" t="s">
        <v>43</v>
      </c>
      <c r="P1" s="2"/>
      <c r="Q1" s="2"/>
      <c r="R1" s="2"/>
      <c r="S1" s="2"/>
      <c r="T1" s="2"/>
      <c r="U1" s="2"/>
      <c r="V1" s="2"/>
      <c r="W1" s="2"/>
      <c r="X1" s="2"/>
      <c r="Y1" s="2"/>
    </row>
    <row r="2" spans="1:25" x14ac:dyDescent="0.3">
      <c r="A2" s="3" t="s">
        <v>0</v>
      </c>
      <c r="C2" s="4">
        <v>-0.5</v>
      </c>
      <c r="D2" s="4">
        <v>-0.4</v>
      </c>
      <c r="E2" s="4">
        <v>-0.3</v>
      </c>
      <c r="F2" s="4">
        <v>-0.2</v>
      </c>
      <c r="G2" s="4">
        <v>-0.1</v>
      </c>
      <c r="H2" s="20">
        <v>0</v>
      </c>
      <c r="I2" s="4">
        <v>0.1</v>
      </c>
      <c r="J2" s="4">
        <v>0.2</v>
      </c>
      <c r="K2" s="4">
        <v>0.3</v>
      </c>
      <c r="L2" s="4">
        <v>0.4</v>
      </c>
      <c r="M2" s="4">
        <v>0.5</v>
      </c>
      <c r="O2" s="4">
        <v>-0.5</v>
      </c>
      <c r="P2" s="4">
        <v>-0.4</v>
      </c>
      <c r="Q2" s="4">
        <v>-0.3</v>
      </c>
      <c r="R2" s="4">
        <v>-0.2</v>
      </c>
      <c r="S2" s="4">
        <v>-0.1</v>
      </c>
      <c r="T2" s="4">
        <v>0</v>
      </c>
      <c r="U2" s="4">
        <v>0.1</v>
      </c>
      <c r="V2" s="4">
        <v>0.2</v>
      </c>
      <c r="W2" s="4">
        <v>0.3</v>
      </c>
      <c r="X2" s="4">
        <v>0.4</v>
      </c>
      <c r="Y2" s="4">
        <v>0.5</v>
      </c>
    </row>
    <row r="3" spans="1:25" x14ac:dyDescent="0.3">
      <c r="A3" t="str">
        <f>_f1</f>
        <v>Real Discount Rate</v>
      </c>
      <c r="B3" s="28">
        <v>1</v>
      </c>
      <c r="C3" s="5">
        <v>7930129.7434743028</v>
      </c>
      <c r="D3" s="5">
        <v>7188552.1228884105</v>
      </c>
      <c r="E3" s="5">
        <v>6490636.0859037023</v>
      </c>
      <c r="F3" s="5">
        <v>5833415.3752557691</v>
      </c>
      <c r="G3" s="5">
        <v>5214149.763072107</v>
      </c>
      <c r="H3" s="19">
        <f>npv</f>
        <v>4630306.163823409</v>
      </c>
      <c r="I3" s="5">
        <v>4079541.4520820975</v>
      </c>
      <c r="J3" s="5">
        <v>3559686.8205749933</v>
      </c>
      <c r="K3" s="5">
        <v>3068733.530862187</v>
      </c>
      <c r="L3" s="5">
        <v>2604819.9239995684</v>
      </c>
      <c r="M3" s="5">
        <v>2166219.5719545921</v>
      </c>
      <c r="N3" s="6"/>
      <c r="O3" s="7">
        <v>0.79301297434743023</v>
      </c>
      <c r="P3" s="7">
        <v>0.71885521228884108</v>
      </c>
      <c r="Q3" s="7">
        <v>0.64906360859037027</v>
      </c>
      <c r="R3" s="7">
        <v>0.58334153752557694</v>
      </c>
      <c r="S3" s="7">
        <v>0.52141497630721068</v>
      </c>
      <c r="T3" s="8">
        <f>pi</f>
        <v>0.46303061638234089</v>
      </c>
      <c r="U3" s="7">
        <v>0.40795414520820977</v>
      </c>
      <c r="V3" s="7">
        <v>0.35596868205749932</v>
      </c>
      <c r="W3" s="7">
        <v>0.30687335308621871</v>
      </c>
      <c r="X3" s="7">
        <v>0.26048199239995684</v>
      </c>
      <c r="Y3" s="7">
        <v>0.21662195719545921</v>
      </c>
    </row>
    <row r="4" spans="1:25" x14ac:dyDescent="0.3">
      <c r="A4" t="str">
        <f>_f2</f>
        <v>Corporate tax rate</v>
      </c>
      <c r="B4" s="28">
        <v>1</v>
      </c>
      <c r="C4" s="5">
        <v>5612360.8034832645</v>
      </c>
      <c r="D4" s="5">
        <v>5415949.8755512927</v>
      </c>
      <c r="E4" s="5">
        <v>5219538.9476193208</v>
      </c>
      <c r="F4" s="5">
        <v>5023128.0196873527</v>
      </c>
      <c r="G4" s="5">
        <v>4826717.0917553809</v>
      </c>
      <c r="H4" s="19">
        <f>npv</f>
        <v>4630306.163823409</v>
      </c>
      <c r="I4" s="5">
        <v>4433895.235891439</v>
      </c>
      <c r="J4" s="5">
        <v>4237484.3079594672</v>
      </c>
      <c r="K4" s="5">
        <v>4041073.380027499</v>
      </c>
      <c r="L4" s="5">
        <v>3844662.4520955272</v>
      </c>
      <c r="M4" s="5">
        <v>3648251.5241635554</v>
      </c>
      <c r="N4" s="6"/>
      <c r="O4" s="9">
        <v>0.5612360803483265</v>
      </c>
      <c r="P4" s="9">
        <v>0.54159498755512925</v>
      </c>
      <c r="Q4" s="9">
        <v>0.5219538947619321</v>
      </c>
      <c r="R4" s="9">
        <v>0.50231280196873529</v>
      </c>
      <c r="S4" s="9">
        <v>0.48267170917553809</v>
      </c>
      <c r="T4" s="8">
        <f>pi</f>
        <v>0.46303061638234089</v>
      </c>
      <c r="U4" s="9">
        <v>0.44338952358914391</v>
      </c>
      <c r="V4" s="9">
        <v>0.42374843079594671</v>
      </c>
      <c r="W4" s="9">
        <v>0.40410733800274989</v>
      </c>
      <c r="X4" s="9">
        <v>0.38446624520955269</v>
      </c>
      <c r="Y4" s="9">
        <v>0.36482515241635555</v>
      </c>
    </row>
    <row r="5" spans="1:25" x14ac:dyDescent="0.3">
      <c r="A5" t="str">
        <f>_f3</f>
        <v>Unitary price</v>
      </c>
      <c r="B5" s="28">
        <v>1</v>
      </c>
      <c r="C5" s="5">
        <v>-3852154.16511558</v>
      </c>
      <c r="D5" s="5">
        <v>-2155662.0993277831</v>
      </c>
      <c r="E5" s="5">
        <v>-459170.03353998624</v>
      </c>
      <c r="F5" s="5">
        <v>1237322.0322478106</v>
      </c>
      <c r="G5" s="5">
        <v>2933814.0980356084</v>
      </c>
      <c r="H5" s="19">
        <f>npv</f>
        <v>4630306.163823409</v>
      </c>
      <c r="I5" s="5">
        <v>6326798.2296112012</v>
      </c>
      <c r="J5" s="5">
        <v>8023290.2953990009</v>
      </c>
      <c r="K5" s="5">
        <v>9719782.3611867949</v>
      </c>
      <c r="L5" s="5">
        <v>11416274.426974598</v>
      </c>
      <c r="M5" s="5">
        <v>13112766.492762398</v>
      </c>
      <c r="N5" s="6"/>
      <c r="O5" s="9">
        <v>-0.385215416511558</v>
      </c>
      <c r="P5" s="9">
        <v>-0.21556620993277831</v>
      </c>
      <c r="Q5" s="9">
        <v>-4.5917003353998627E-2</v>
      </c>
      <c r="R5" s="9">
        <v>0.12373220322478107</v>
      </c>
      <c r="S5" s="9">
        <v>0.29338140980356087</v>
      </c>
      <c r="T5" s="8">
        <f>pi</f>
        <v>0.46303061638234089</v>
      </c>
      <c r="U5" s="9">
        <v>0.63267982296112013</v>
      </c>
      <c r="V5" s="9">
        <v>0.80232902953990004</v>
      </c>
      <c r="W5" s="9">
        <v>0.97197823611867951</v>
      </c>
      <c r="X5" s="9">
        <v>1.1416274426974597</v>
      </c>
      <c r="Y5" s="9">
        <v>1.3112766492762398</v>
      </c>
    </row>
    <row r="6" spans="1:25" x14ac:dyDescent="0.3">
      <c r="A6" t="str">
        <f>_f4</f>
        <v>Variable Costs</v>
      </c>
      <c r="B6" s="28">
        <v>1</v>
      </c>
      <c r="C6" s="5">
        <v>6750921.2460581567</v>
      </c>
      <c r="D6" s="5">
        <v>6326798.2296112087</v>
      </c>
      <c r="E6" s="5">
        <v>5902675.213164255</v>
      </c>
      <c r="F6" s="5">
        <v>5478552.1967173107</v>
      </c>
      <c r="G6" s="5">
        <v>5054429.1802703552</v>
      </c>
      <c r="H6" s="19">
        <f>npv</f>
        <v>4630306.163823409</v>
      </c>
      <c r="I6" s="5">
        <v>4206183.147376461</v>
      </c>
      <c r="J6" s="5">
        <v>3782060.130929511</v>
      </c>
      <c r="K6" s="5">
        <v>3357937.1144825621</v>
      </c>
      <c r="L6" s="5">
        <v>2933814.0980356121</v>
      </c>
      <c r="M6" s="5">
        <v>2509691.0815886641</v>
      </c>
      <c r="N6" s="6"/>
      <c r="O6" s="9">
        <v>0.67509212460581569</v>
      </c>
      <c r="P6" s="9">
        <v>0.63267982296112091</v>
      </c>
      <c r="Q6" s="9">
        <v>0.59026752131642546</v>
      </c>
      <c r="R6" s="9">
        <v>0.54785521967173112</v>
      </c>
      <c r="S6" s="9">
        <v>0.50544291802703556</v>
      </c>
      <c r="T6" s="8">
        <f>pi</f>
        <v>0.46303061638234089</v>
      </c>
      <c r="U6" s="9">
        <v>0.4206183147376461</v>
      </c>
      <c r="V6" s="9">
        <v>0.3782060130929511</v>
      </c>
      <c r="W6" s="9">
        <v>0.3357937114482562</v>
      </c>
      <c r="X6" s="9">
        <v>0.2933814098035612</v>
      </c>
      <c r="Y6" s="9">
        <v>0.25096910815886642</v>
      </c>
    </row>
    <row r="7" spans="1:25" x14ac:dyDescent="0.3">
      <c r="A7" t="str">
        <f>_f5</f>
        <v>Total Construction costs</v>
      </c>
      <c r="B7" s="28">
        <v>1</v>
      </c>
      <c r="C7" s="5">
        <v>8710274.3023142964</v>
      </c>
      <c r="D7" s="5">
        <v>7894280.6746161226</v>
      </c>
      <c r="E7" s="5">
        <v>7078287.0469179433</v>
      </c>
      <c r="F7" s="5">
        <v>6262293.4192197677</v>
      </c>
      <c r="G7" s="5">
        <v>5446299.7915215902</v>
      </c>
      <c r="H7" s="19">
        <f>npv</f>
        <v>4630306.163823409</v>
      </c>
      <c r="I7" s="5">
        <v>3814312.5361252353</v>
      </c>
      <c r="J7" s="5">
        <v>2998318.908427055</v>
      </c>
      <c r="K7" s="5">
        <v>2182325.2807288794</v>
      </c>
      <c r="L7" s="5">
        <v>1366331.653030701</v>
      </c>
      <c r="M7" s="5">
        <v>550338.02533252165</v>
      </c>
      <c r="N7" s="6"/>
      <c r="O7" s="9">
        <v>1.7420548604628598</v>
      </c>
      <c r="P7" s="9">
        <v>1.3157134457693545</v>
      </c>
      <c r="Q7" s="9">
        <v>1.0111838638454209</v>
      </c>
      <c r="R7" s="9">
        <v>0.78278667740247121</v>
      </c>
      <c r="S7" s="9">
        <v>0.60514442128017698</v>
      </c>
      <c r="T7" s="8">
        <f>pi</f>
        <v>0.46303061638234089</v>
      </c>
      <c r="U7" s="9">
        <v>0.34675568510229421</v>
      </c>
      <c r="V7" s="9">
        <v>0.24985990903558797</v>
      </c>
      <c r="W7" s="9">
        <v>0.16787117544068306</v>
      </c>
      <c r="X7" s="9">
        <v>9.7595118073621492E-2</v>
      </c>
      <c r="Y7" s="9">
        <v>3.6689201688834779E-2</v>
      </c>
    </row>
    <row r="8" spans="1:25" x14ac:dyDescent="0.3">
      <c r="C8" s="5"/>
      <c r="D8" s="5"/>
      <c r="E8" s="5"/>
      <c r="F8" s="5"/>
      <c r="G8" s="5"/>
      <c r="H8" s="5"/>
      <c r="I8" s="5"/>
      <c r="J8" s="5"/>
      <c r="K8" s="5"/>
      <c r="L8" s="5"/>
      <c r="M8" s="5"/>
      <c r="N8" s="6"/>
      <c r="O8" s="6"/>
      <c r="P8" s="6"/>
      <c r="Q8" s="6"/>
      <c r="R8" s="6"/>
      <c r="S8" s="6"/>
      <c r="T8" s="6"/>
      <c r="U8" s="6"/>
      <c r="V8" s="6"/>
      <c r="W8" s="6"/>
      <c r="X8" s="6"/>
      <c r="Y8" s="6"/>
    </row>
    <row r="9" spans="1:25" x14ac:dyDescent="0.3">
      <c r="C9" s="5"/>
      <c r="D9" s="5"/>
      <c r="E9" s="5"/>
      <c r="F9" s="5"/>
      <c r="G9" s="5"/>
      <c r="H9" s="5"/>
      <c r="I9" s="5"/>
      <c r="J9" s="5"/>
      <c r="K9" s="5"/>
      <c r="L9" s="5"/>
      <c r="M9" s="5"/>
      <c r="N9" s="6"/>
      <c r="O9" s="6"/>
      <c r="P9" s="6"/>
      <c r="Q9" s="6"/>
      <c r="R9" s="6"/>
      <c r="S9" s="6"/>
      <c r="T9" s="6"/>
      <c r="U9" s="6"/>
      <c r="V9" s="6"/>
      <c r="W9" s="6"/>
      <c r="X9" s="6"/>
      <c r="Y9" s="6"/>
    </row>
    <row r="10" spans="1:25" x14ac:dyDescent="0.3">
      <c r="C10" s="56"/>
      <c r="D10" s="56"/>
      <c r="E10" s="56"/>
      <c r="F10" s="56"/>
      <c r="G10" s="56"/>
      <c r="H10" s="56"/>
      <c r="I10" s="56"/>
      <c r="J10" s="56"/>
      <c r="K10" s="56"/>
      <c r="L10" s="56"/>
      <c r="M10" s="56"/>
    </row>
    <row r="11" spans="1:25" x14ac:dyDescent="0.3">
      <c r="C11" s="56"/>
      <c r="D11" s="56"/>
      <c r="E11" s="56"/>
      <c r="F11" s="56"/>
      <c r="G11" s="56"/>
      <c r="H11" s="56"/>
      <c r="I11" s="56"/>
      <c r="J11" s="56"/>
      <c r="K11" s="56"/>
      <c r="L11" s="56"/>
      <c r="M11" s="56"/>
    </row>
    <row r="12" spans="1:25" x14ac:dyDescent="0.3">
      <c r="C12" s="56"/>
      <c r="D12" s="56"/>
      <c r="E12" s="56"/>
      <c r="F12" s="56"/>
      <c r="G12" s="56"/>
      <c r="H12" s="56"/>
      <c r="I12" s="56"/>
      <c r="J12" s="56"/>
      <c r="K12" s="56"/>
      <c r="L12" s="56"/>
      <c r="M12" s="56"/>
    </row>
    <row r="13" spans="1:25" x14ac:dyDescent="0.3">
      <c r="C13" s="56"/>
      <c r="D13" s="56"/>
      <c r="E13" s="56"/>
      <c r="F13" s="56"/>
      <c r="G13" s="56"/>
      <c r="H13" s="56"/>
      <c r="I13" s="56"/>
      <c r="J13" s="56"/>
      <c r="K13" s="56"/>
      <c r="L13" s="56"/>
      <c r="M13" s="56"/>
    </row>
    <row r="14" spans="1:25" x14ac:dyDescent="0.3">
      <c r="C14" s="56"/>
      <c r="D14" s="56"/>
      <c r="E14" s="56"/>
      <c r="F14" s="56"/>
      <c r="G14" s="56"/>
      <c r="H14" s="56"/>
      <c r="I14" s="56"/>
      <c r="J14" s="56"/>
      <c r="K14" s="56"/>
      <c r="L14" s="56"/>
      <c r="M14" s="56"/>
    </row>
    <row r="16" spans="1:25" x14ac:dyDescent="0.3">
      <c r="C16" s="18"/>
    </row>
    <row r="17" spans="1:3" x14ac:dyDescent="0.3">
      <c r="C17" s="18"/>
    </row>
    <row r="18" spans="1:3" x14ac:dyDescent="0.3">
      <c r="C18" s="18"/>
    </row>
    <row r="19" spans="1:3" x14ac:dyDescent="0.3">
      <c r="C19" s="18"/>
    </row>
    <row r="20" spans="1:3" x14ac:dyDescent="0.3">
      <c r="C20" s="46"/>
    </row>
    <row r="31" spans="1:3" x14ac:dyDescent="0.3">
      <c r="A31" s="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Sensitivity">
                <anchor moveWithCells="1" sizeWithCells="1">
                  <from>
                    <xdr:col>0</xdr:col>
                    <xdr:colOff>838200</xdr:colOff>
                    <xdr:row>10</xdr:row>
                    <xdr:rowOff>7620</xdr:rowOff>
                  </from>
                  <to>
                    <xdr:col>2</xdr:col>
                    <xdr:colOff>563880</xdr:colOff>
                    <xdr:row>13</xdr:row>
                    <xdr:rowOff>83820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ABE97-3199-4580-B6D3-01649544EE42}">
  <sheetPr codeName="Sheet4">
    <tabColor theme="1"/>
  </sheetPr>
  <dimension ref="A1:I27"/>
  <sheetViews>
    <sheetView topLeftCell="A3" workbookViewId="0">
      <selection activeCell="B27" sqref="B27"/>
    </sheetView>
  </sheetViews>
  <sheetFormatPr defaultRowHeight="14.4" x14ac:dyDescent="0.3"/>
  <cols>
    <col min="1" max="1" width="21.44140625" customWidth="1"/>
    <col min="2" max="2" width="9.6640625" customWidth="1"/>
  </cols>
  <sheetData>
    <row r="1" spans="1:9" x14ac:dyDescent="0.3">
      <c r="B1" s="11" t="s">
        <v>24</v>
      </c>
      <c r="E1" s="11" t="s">
        <v>54</v>
      </c>
      <c r="I1" s="11" t="s">
        <v>67</v>
      </c>
    </row>
    <row r="2" spans="1:9" x14ac:dyDescent="0.3">
      <c r="B2" t="s">
        <v>21</v>
      </c>
      <c r="E2" t="str" cm="1">
        <f t="array" ref="E2:E9">Inputs!A9:A16</f>
        <v>Nominal Discount rate</v>
      </c>
      <c r="I2" t="str" cm="1">
        <f t="array" ref="I2:I4">TRANSPOSE('Output Report'!B23:D23)</f>
        <v>Business as usual</v>
      </c>
    </row>
    <row r="3" spans="1:9" x14ac:dyDescent="0.3">
      <c r="B3" t="s">
        <v>22</v>
      </c>
      <c r="E3" t="str">
        <v>Annual inflation</v>
      </c>
      <c r="I3" t="str">
        <v>Economic boom</v>
      </c>
    </row>
    <row r="4" spans="1:9" x14ac:dyDescent="0.3">
      <c r="B4" t="s">
        <v>23</v>
      </c>
      <c r="E4" t="str">
        <v>Real Discount Rate</v>
      </c>
      <c r="I4" t="str">
        <v>Economic recession</v>
      </c>
    </row>
    <row r="5" spans="1:9" x14ac:dyDescent="0.3">
      <c r="E5" t="str">
        <v>Lifetime of the plant (in years)</v>
      </c>
    </row>
    <row r="6" spans="1:9" x14ac:dyDescent="0.3">
      <c r="E6" t="str">
        <v>Corporate tax rate</v>
      </c>
    </row>
    <row r="7" spans="1:9" x14ac:dyDescent="0.3">
      <c r="E7" t="str">
        <v>Total Construction costs</v>
      </c>
    </row>
    <row r="8" spans="1:9" x14ac:dyDescent="0.3">
      <c r="A8" s="11" t="s">
        <v>53</v>
      </c>
      <c r="E8" t="str">
        <v>Time for constructions (in years)</v>
      </c>
      <c r="I8" s="11" t="s">
        <v>72</v>
      </c>
    </row>
    <row r="9" spans="1:9" x14ac:dyDescent="0.3">
      <c r="E9" t="str">
        <v>Scrap value of machines</v>
      </c>
      <c r="I9" t="str">
        <f>Inputs!A22</f>
        <v>Unitary price</v>
      </c>
    </row>
    <row r="10" spans="1:9" x14ac:dyDescent="0.3">
      <c r="A10" t="str" cm="1">
        <f t="array" ref="A10:A27">indicators</f>
        <v>Nominal Discount rate</v>
      </c>
      <c r="B10">
        <f>IF(OR(_f1=A10,_f2=A10,_f3=A10,_f4=A10,_f5=A10),VLOOKUP(A10,Inputs!$A$1:$C$48,3,FALSE)*VLOOKUP(A10,sensitivity!$A$3:$B$7,2,FALSE),VLOOKUP(A10,Inputs!$A$1:$C$48,3,FALSE))</f>
        <v>0.1</v>
      </c>
      <c r="E10" t="str" cm="1">
        <f t="array" ref="E10:E11">Inputs!A22:A23</f>
        <v>Unitary price</v>
      </c>
      <c r="I10" t="str">
        <f>Inputs!A23</f>
        <v>Variable Costs</v>
      </c>
    </row>
    <row r="11" spans="1:9" x14ac:dyDescent="0.3">
      <c r="A11" t="str">
        <v>Annual inflation</v>
      </c>
      <c r="B11">
        <f>IF(OR(_f1=A11,_f2=A11,_f3=A11,_f4=A11,_f5=A11),VLOOKUP(A11,Inputs!$A$1:$C$48,3,FALSE)*VLOOKUP(A11,sensitivity!$A$3:$B$7,2,FALSE),VLOOKUP(A11,Inputs!$A$1:$C$48,3,FALSE))</f>
        <v>0.04</v>
      </c>
      <c r="E11" t="str">
        <v>Variable Costs</v>
      </c>
      <c r="I11" t="str">
        <f>Inputs!A10</f>
        <v>Annual inflation</v>
      </c>
    </row>
    <row r="12" spans="1:9" x14ac:dyDescent="0.3">
      <c r="A12" t="str">
        <v>Real Discount Rate</v>
      </c>
      <c r="B12">
        <f>IF(OR(_f1=A12,_f2=A12,_f3=A12,_f4=A12,_f5=A12),VLOOKUP(A12,Inputs!$A$1:$C$48,3,FALSE)*VLOOKUP(A12,sensitivity!$A$3:$B$7,2,FALSE),VLOOKUP(A12,Inputs!$A$1:$C$48,3,FALSE))</f>
        <v>6.0000000000000005E-2</v>
      </c>
      <c r="E12" t="str" cm="1">
        <f t="array" ref="E12:E14">Inputs!A25:A27</f>
        <v>Quantities phase 1</v>
      </c>
      <c r="I12" t="str">
        <f>Inputs!A26</f>
        <v>Quantities phase 2</v>
      </c>
    </row>
    <row r="13" spans="1:9" x14ac:dyDescent="0.3">
      <c r="A13" t="str">
        <v>Lifetime of the plant (in years)</v>
      </c>
      <c r="B13">
        <f>IF(OR(_f1=A13,_f2=A13,_f3=A13,_f4=A13,_f5=A13),VLOOKUP(A13,Inputs!$A$1:$C$48,3,FALSE)*VLOOKUP(A13,sensitivity!$A$3:$B$7,2,FALSE),VLOOKUP(A13,Inputs!$A$1:$C$48,3,FALSE))</f>
        <v>12</v>
      </c>
      <c r="E13" t="str">
        <v>Quantities phase 2</v>
      </c>
      <c r="I13" t="str">
        <f>Inputs!A27</f>
        <v>Quantities phase 3</v>
      </c>
    </row>
    <row r="14" spans="1:9" x14ac:dyDescent="0.3">
      <c r="A14" t="str">
        <v>Corporate tax rate</v>
      </c>
      <c r="B14">
        <f>IF(OR(_f1=A14,_f2=A14,_f3=A14,_f4=A14,_f5=A14),VLOOKUP(A14,Inputs!$A$1:$C$48,3,FALSE)*VLOOKUP(A14,sensitivity!$A$3:$B$7,2,FALSE),VLOOKUP(A14,Inputs!$A$1:$C$48,3,FALSE))</f>
        <v>0.2</v>
      </c>
      <c r="E14" t="str">
        <v>Quantities phase 3</v>
      </c>
    </row>
    <row r="15" spans="1:9" x14ac:dyDescent="0.3">
      <c r="A15" t="str">
        <v>Total Construction costs</v>
      </c>
      <c r="B15">
        <f>IF(OR(_f1=A15,_f2=A15,_f3=A15,_f4=A15,_f5=A15),VLOOKUP(A15,Inputs!$A$1:$C$48,3,FALSE)*VLOOKUP(A15,sensitivity!$A$3:$B$7,2,FALSE),VLOOKUP(A15,Inputs!$A$1:$C$48,3,FALSE))</f>
        <v>-10000000</v>
      </c>
      <c r="E15" t="str" cm="1">
        <f t="array" ref="E15:E17">Inputs!A30:A32</f>
        <v>Working capital phase 1</v>
      </c>
    </row>
    <row r="16" spans="1:9" x14ac:dyDescent="0.3">
      <c r="A16" t="str">
        <v>Time for constructions (in years)</v>
      </c>
      <c r="B16">
        <f>IF(OR(_f1=A16,_f2=A16,_f3=A16,_f4=A16,_f5=A16),VLOOKUP(A16,Inputs!$A$1:$C$48,3,FALSE)*VLOOKUP(A16,sensitivity!$A$3:$B$7,2,FALSE),VLOOKUP(A16,Inputs!$A$1:$C$48,3,FALSE))</f>
        <v>2</v>
      </c>
      <c r="E16" t="str">
        <v>Working capital phase 2</v>
      </c>
    </row>
    <row r="17" spans="1:5" x14ac:dyDescent="0.3">
      <c r="A17" t="str">
        <v>Scrap value of machines</v>
      </c>
      <c r="B17">
        <f>IF(OR(_f1=A17,_f2=A17,_f3=A17,_f4=A17,_f5=A17),VLOOKUP(A17,Inputs!$A$1:$C$48,3,FALSE)*VLOOKUP(A17,sensitivity!$A$3:$B$7,2,FALSE),VLOOKUP(A17,Inputs!$A$1:$C$48,3,FALSE))</f>
        <v>769230.76923076995</v>
      </c>
      <c r="E17" t="str">
        <v>Working capital phase 3</v>
      </c>
    </row>
    <row r="18" spans="1:5" x14ac:dyDescent="0.3">
      <c r="A18" t="str">
        <v>Unitary price</v>
      </c>
      <c r="B18">
        <f>IF(OR(_f1=A18,_f2=A18,_f3=A18,_f4=A18,_f5=A18),VLOOKUP(A18,Inputs!$A$1:$C$48,3,FALSE)*VLOOKUP(A18,sensitivity!$A$3:$B$7,2,FALSE),VLOOKUP(A18,Inputs!$A$1:$C$48,3,FALSE))</f>
        <v>2</v>
      </c>
      <c r="E18" t="str" cm="1">
        <f t="array" ref="E18:E19">Inputs!A35:A36</f>
        <v>Depreciation phase 1</v>
      </c>
    </row>
    <row r="19" spans="1:5" x14ac:dyDescent="0.3">
      <c r="A19" t="str">
        <v>Variable Costs</v>
      </c>
      <c r="B19">
        <f>IF(OR(_f1=A19,_f2=A19,_f3=A19,_f4=A19,_f5=A19),VLOOKUP(A19,Inputs!$A$1:$C$48,3,FALSE)*VLOOKUP(A19,sensitivity!$A$3:$B$7,2,FALSE),VLOOKUP(A19,Inputs!$A$1:$C$48,3,FALSE))</f>
        <v>-0.5</v>
      </c>
      <c r="E19" t="str">
        <v>Depreciation phase 2</v>
      </c>
    </row>
    <row r="20" spans="1:5" x14ac:dyDescent="0.3">
      <c r="A20" s="11" t="str">
        <v>Quantities phase 1</v>
      </c>
      <c r="B20">
        <f>IF(OR(_f1=A20,_f2=A20,_f3=A20,_f4=A20,_f5=A20),VLOOKUP(A20,Inputs!$A$1:$G$48,7,FALSE)*VLOOKUP(A20,sensitivity!$A$3:$B$7,2,FALSE),VLOOKUP(A20,Inputs!$A$1:$G$48,7,FALSE))</f>
        <v>0</v>
      </c>
    </row>
    <row r="21" spans="1:5" x14ac:dyDescent="0.3">
      <c r="A21" t="str">
        <v>Quantities phase 2</v>
      </c>
      <c r="B21">
        <f>IF(OR(_f1=A21,_f2=A21,_f3=A21,_f4=A21,_f5=A21),VLOOKUP(A21,Inputs!$A$1:$G$48,7,FALSE)*VLOOKUP(A21,sensitivity!$A$3:$B$7,2,FALSE),VLOOKUP(A21,Inputs!$A$1:$G$48,7,FALSE))</f>
        <v>1000000</v>
      </c>
    </row>
    <row r="22" spans="1:5" x14ac:dyDescent="0.3">
      <c r="A22" t="str">
        <v>Quantities phase 3</v>
      </c>
      <c r="B22">
        <f>IF(OR(_f1=A22,_f2=A22,_f3=A22,_f4=A22,_f5=A22),VLOOKUP(A22,Inputs!$A$1:$G$48,7,FALSE)*VLOOKUP(A22,sensitivity!$A$3:$B$7,2,FALSE),VLOOKUP(A22,Inputs!$A$1:$G$48,7,FALSE))</f>
        <v>1500000</v>
      </c>
    </row>
    <row r="23" spans="1:5" x14ac:dyDescent="0.3">
      <c r="A23" t="str">
        <v>Working capital phase 1</v>
      </c>
      <c r="B23">
        <f>IF(OR(_f1=A23,_f2=A23,_f3=A23,_f4=A23,_f5=A23),VLOOKUP(A23,Inputs!$A$1:$G$48,7,FALSE)*VLOOKUP(A23,sensitivity!$A$3:$B$7,2,FALSE),VLOOKUP(A23,Inputs!$A$1:$G$48,7,FALSE))</f>
        <v>0</v>
      </c>
    </row>
    <row r="24" spans="1:5" x14ac:dyDescent="0.3">
      <c r="A24" t="str">
        <v>Working capital phase 2</v>
      </c>
      <c r="B24">
        <f>IF(OR(_f1=A24,_f2=A24,_f3=A24,_f4=A24,_f5=A24),VLOOKUP(A24,Inputs!$A$1:$G$48,7,FALSE)*VLOOKUP(A24,sensitivity!$A$3:$B$7,2,FALSE),VLOOKUP(A24,Inputs!$A$1:$G$48,7,FALSE))</f>
        <v>50000</v>
      </c>
    </row>
    <row r="25" spans="1:5" x14ac:dyDescent="0.3">
      <c r="A25" t="str">
        <v>Working capital phase 3</v>
      </c>
      <c r="B25">
        <f>IF(OR(_f1=A25,_f2=A25,_f3=A25,_f4=A25,_f5=A25),VLOOKUP(A25,Inputs!$A$1:$G$48,7,FALSE)*VLOOKUP(A25,sensitivity!$A$3:$B$7,2,FALSE),VLOOKUP(A25,Inputs!$A$1:$G$48,7,FALSE))</f>
        <v>-50000</v>
      </c>
    </row>
    <row r="26" spans="1:5" x14ac:dyDescent="0.3">
      <c r="A26" t="str">
        <v>Depreciation phase 1</v>
      </c>
      <c r="B26">
        <f>IF(OR(_f1=A26,_f2=A26,_f3=A26,_f4=A26,_f5=A26),VLOOKUP(A26,Inputs!$A$1:$G$48,7,FALSE)*VLOOKUP(A26,sensitivity!$A$3:$B$7,2,FALSE),VLOOKUP(A26,Inputs!$A$1:$G$48,7,FALSE))</f>
        <v>0</v>
      </c>
    </row>
    <row r="27" spans="1:5" x14ac:dyDescent="0.3">
      <c r="A27" t="str">
        <v>Depreciation phase 2</v>
      </c>
      <c r="B27">
        <f>IF(OR(_f1=A27,_f2=A27,_f3=A27,_f4=A27,_f5=A27),VLOOKUP(A27,Inputs!$A$1:$G$48,7,FALSE)*VLOOKUP(A27,sensitivity!$A$3:$B$7,2,FALSE),VLOOKUP(A27,Inputs!$A$1:$G$48,7,FALSE))</f>
        <v>7.6923076923076927E-2</v>
      </c>
    </row>
  </sheetData>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7072F-913B-468F-887E-8EB40AF3FFD3}">
  <sheetPr codeName="Sheet8">
    <tabColor theme="1"/>
  </sheetPr>
  <dimension ref="A1:A1000"/>
  <sheetViews>
    <sheetView workbookViewId="0"/>
  </sheetViews>
  <sheetFormatPr defaultRowHeight="14.4" x14ac:dyDescent="0.3"/>
  <sheetData>
    <row r="1" spans="1:1" x14ac:dyDescent="0.3">
      <c r="A1">
        <v>8149761.6446000002</v>
      </c>
    </row>
    <row r="2" spans="1:1" x14ac:dyDescent="0.3">
      <c r="A2">
        <v>1606669.7339000001</v>
      </c>
    </row>
    <row r="3" spans="1:1" x14ac:dyDescent="0.3">
      <c r="A3">
        <v>5879727.8233000003</v>
      </c>
    </row>
    <row r="4" spans="1:1" x14ac:dyDescent="0.3">
      <c r="A4">
        <v>2970301.4246</v>
      </c>
    </row>
    <row r="5" spans="1:1" x14ac:dyDescent="0.3">
      <c r="A5">
        <v>4060801.2496000002</v>
      </c>
    </row>
    <row r="6" spans="1:1" x14ac:dyDescent="0.3">
      <c r="A6">
        <v>5791770.5042000003</v>
      </c>
    </row>
    <row r="7" spans="1:1" x14ac:dyDescent="0.3">
      <c r="A7">
        <v>6103780.8596000001</v>
      </c>
    </row>
    <row r="8" spans="1:1" x14ac:dyDescent="0.3">
      <c r="A8">
        <v>6296434.2251000004</v>
      </c>
    </row>
    <row r="9" spans="1:1" x14ac:dyDescent="0.3">
      <c r="A9">
        <v>1478370.5347</v>
      </c>
    </row>
    <row r="10" spans="1:1" x14ac:dyDescent="0.3">
      <c r="A10">
        <v>-479361.53909999999</v>
      </c>
    </row>
    <row r="11" spans="1:1" x14ac:dyDescent="0.3">
      <c r="A11">
        <v>3784318.7039000001</v>
      </c>
    </row>
    <row r="12" spans="1:1" x14ac:dyDescent="0.3">
      <c r="A12">
        <v>6938647.3384999996</v>
      </c>
    </row>
    <row r="13" spans="1:1" x14ac:dyDescent="0.3">
      <c r="A13">
        <v>-1126986.2601999999</v>
      </c>
    </row>
    <row r="14" spans="1:1" x14ac:dyDescent="0.3">
      <c r="A14">
        <v>10416273.648700001</v>
      </c>
    </row>
    <row r="15" spans="1:1" x14ac:dyDescent="0.3">
      <c r="A15">
        <v>-4593560.2937000003</v>
      </c>
    </row>
    <row r="16" spans="1:1" x14ac:dyDescent="0.3">
      <c r="A16">
        <v>5651211.3119999999</v>
      </c>
    </row>
    <row r="17" spans="1:1" x14ac:dyDescent="0.3">
      <c r="A17">
        <v>6906207.7051999997</v>
      </c>
    </row>
    <row r="18" spans="1:1" x14ac:dyDescent="0.3">
      <c r="A18">
        <v>12042963.1589</v>
      </c>
    </row>
    <row r="19" spans="1:1" x14ac:dyDescent="0.3">
      <c r="A19">
        <v>2918270.307</v>
      </c>
    </row>
    <row r="20" spans="1:1" x14ac:dyDescent="0.3">
      <c r="A20">
        <v>-1945911.7261999999</v>
      </c>
    </row>
    <row r="21" spans="1:1" x14ac:dyDescent="0.3">
      <c r="A21">
        <v>-4625033.0993999997</v>
      </c>
    </row>
    <row r="22" spans="1:1" x14ac:dyDescent="0.3">
      <c r="A22">
        <v>2874035.8133999999</v>
      </c>
    </row>
    <row r="23" spans="1:1" x14ac:dyDescent="0.3">
      <c r="A23">
        <v>12718417.4307</v>
      </c>
    </row>
    <row r="24" spans="1:1" x14ac:dyDescent="0.3">
      <c r="A24">
        <v>4121040.5370999998</v>
      </c>
    </row>
    <row r="25" spans="1:1" x14ac:dyDescent="0.3">
      <c r="A25">
        <v>-4452894.2355000004</v>
      </c>
    </row>
    <row r="26" spans="1:1" x14ac:dyDescent="0.3">
      <c r="A26">
        <v>-2707258.0032000002</v>
      </c>
    </row>
    <row r="27" spans="1:1" x14ac:dyDescent="0.3">
      <c r="A27">
        <v>-4370015.2553000003</v>
      </c>
    </row>
    <row r="28" spans="1:1" x14ac:dyDescent="0.3">
      <c r="A28">
        <v>833553.88459999999</v>
      </c>
    </row>
    <row r="29" spans="1:1" x14ac:dyDescent="0.3">
      <c r="A29">
        <v>7952563.6216000002</v>
      </c>
    </row>
    <row r="30" spans="1:1" x14ac:dyDescent="0.3">
      <c r="A30">
        <v>8001779.2927999999</v>
      </c>
    </row>
    <row r="31" spans="1:1" x14ac:dyDescent="0.3">
      <c r="A31">
        <v>4851771.2470000004</v>
      </c>
    </row>
    <row r="32" spans="1:1" x14ac:dyDescent="0.3">
      <c r="A32">
        <v>5918859.1880000001</v>
      </c>
    </row>
    <row r="33" spans="1:1" x14ac:dyDescent="0.3">
      <c r="A33">
        <v>2590128.6033000001</v>
      </c>
    </row>
    <row r="34" spans="1:1" x14ac:dyDescent="0.3">
      <c r="A34">
        <v>-5231806.2960999999</v>
      </c>
    </row>
    <row r="35" spans="1:1" x14ac:dyDescent="0.3">
      <c r="A35">
        <v>4875259.8936000001</v>
      </c>
    </row>
    <row r="36" spans="1:1" x14ac:dyDescent="0.3">
      <c r="A36">
        <v>-872904.54839999997</v>
      </c>
    </row>
    <row r="37" spans="1:1" x14ac:dyDescent="0.3">
      <c r="A37">
        <v>-5830948.1387</v>
      </c>
    </row>
    <row r="38" spans="1:1" x14ac:dyDescent="0.3">
      <c r="A38">
        <v>-5673658.1891999999</v>
      </c>
    </row>
    <row r="39" spans="1:1" x14ac:dyDescent="0.3">
      <c r="A39">
        <v>8283747.1434000004</v>
      </c>
    </row>
    <row r="40" spans="1:1" x14ac:dyDescent="0.3">
      <c r="A40">
        <v>-927478.02910000004</v>
      </c>
    </row>
    <row r="41" spans="1:1" x14ac:dyDescent="0.3">
      <c r="A41">
        <v>4372832.2143000001</v>
      </c>
    </row>
    <row r="42" spans="1:1" x14ac:dyDescent="0.3">
      <c r="A42">
        <v>-4829443.5586999999</v>
      </c>
    </row>
    <row r="43" spans="1:1" x14ac:dyDescent="0.3">
      <c r="A43">
        <v>-1493588.8640999999</v>
      </c>
    </row>
    <row r="44" spans="1:1" x14ac:dyDescent="0.3">
      <c r="A44">
        <v>16851367.5231</v>
      </c>
    </row>
    <row r="45" spans="1:1" x14ac:dyDescent="0.3">
      <c r="A45">
        <v>5752869.0965999998</v>
      </c>
    </row>
    <row r="46" spans="1:1" x14ac:dyDescent="0.3">
      <c r="A46">
        <v>-1123066.3075999999</v>
      </c>
    </row>
    <row r="47" spans="1:1" x14ac:dyDescent="0.3">
      <c r="A47">
        <v>982341.61600000004</v>
      </c>
    </row>
    <row r="48" spans="1:1" x14ac:dyDescent="0.3">
      <c r="A48">
        <v>-1287187.8658</v>
      </c>
    </row>
    <row r="49" spans="1:1" x14ac:dyDescent="0.3">
      <c r="A49">
        <v>5506618.4386999998</v>
      </c>
    </row>
    <row r="50" spans="1:1" x14ac:dyDescent="0.3">
      <c r="A50">
        <v>637720.43070000003</v>
      </c>
    </row>
    <row r="51" spans="1:1" x14ac:dyDescent="0.3">
      <c r="A51">
        <v>-3474237.7119</v>
      </c>
    </row>
    <row r="52" spans="1:1" x14ac:dyDescent="0.3">
      <c r="A52">
        <v>-1501.4332999999999</v>
      </c>
    </row>
    <row r="53" spans="1:1" x14ac:dyDescent="0.3">
      <c r="A53">
        <v>2725751.6804999998</v>
      </c>
    </row>
    <row r="54" spans="1:1" x14ac:dyDescent="0.3">
      <c r="A54">
        <v>-3145198.7486</v>
      </c>
    </row>
    <row r="55" spans="1:1" x14ac:dyDescent="0.3">
      <c r="A55">
        <v>1929232.4069000001</v>
      </c>
    </row>
    <row r="56" spans="1:1" x14ac:dyDescent="0.3">
      <c r="A56">
        <v>-2342683.9498000001</v>
      </c>
    </row>
    <row r="57" spans="1:1" x14ac:dyDescent="0.3">
      <c r="A57">
        <v>3240372.5935</v>
      </c>
    </row>
    <row r="58" spans="1:1" x14ac:dyDescent="0.3">
      <c r="A58">
        <v>2241189.5421000002</v>
      </c>
    </row>
    <row r="59" spans="1:1" x14ac:dyDescent="0.3">
      <c r="A59">
        <v>-557820.10649999999</v>
      </c>
    </row>
    <row r="60" spans="1:1" x14ac:dyDescent="0.3">
      <c r="A60">
        <v>9441464.4333999995</v>
      </c>
    </row>
    <row r="61" spans="1:1" x14ac:dyDescent="0.3">
      <c r="A61">
        <v>-2905671.3605999998</v>
      </c>
    </row>
    <row r="62" spans="1:1" x14ac:dyDescent="0.3">
      <c r="A62">
        <v>-987290.61239999998</v>
      </c>
    </row>
    <row r="63" spans="1:1" x14ac:dyDescent="0.3">
      <c r="A63">
        <v>3835789.66</v>
      </c>
    </row>
    <row r="64" spans="1:1" x14ac:dyDescent="0.3">
      <c r="A64">
        <v>-1436703.1495000001</v>
      </c>
    </row>
    <row r="65" spans="1:1" x14ac:dyDescent="0.3">
      <c r="A65">
        <v>-2760456.7667999999</v>
      </c>
    </row>
    <row r="66" spans="1:1" x14ac:dyDescent="0.3">
      <c r="A66">
        <v>-3793621.9530000002</v>
      </c>
    </row>
    <row r="67" spans="1:1" x14ac:dyDescent="0.3">
      <c r="A67">
        <v>5170182.6758000003</v>
      </c>
    </row>
    <row r="68" spans="1:1" x14ac:dyDescent="0.3">
      <c r="A68">
        <v>218968.74249999999</v>
      </c>
    </row>
    <row r="69" spans="1:1" x14ac:dyDescent="0.3">
      <c r="A69">
        <v>7668436.8657</v>
      </c>
    </row>
    <row r="70" spans="1:1" x14ac:dyDescent="0.3">
      <c r="A70">
        <v>7300991.9968999997</v>
      </c>
    </row>
    <row r="71" spans="1:1" x14ac:dyDescent="0.3">
      <c r="A71">
        <v>3897836.2119</v>
      </c>
    </row>
    <row r="72" spans="1:1" x14ac:dyDescent="0.3">
      <c r="A72">
        <v>6005976.5116999997</v>
      </c>
    </row>
    <row r="73" spans="1:1" x14ac:dyDescent="0.3">
      <c r="A73">
        <v>1906254.9990000001</v>
      </c>
    </row>
    <row r="74" spans="1:1" x14ac:dyDescent="0.3">
      <c r="A74">
        <v>593921.79590000003</v>
      </c>
    </row>
    <row r="75" spans="1:1" x14ac:dyDescent="0.3">
      <c r="A75">
        <v>-4437545.7295000004</v>
      </c>
    </row>
    <row r="76" spans="1:1" x14ac:dyDescent="0.3">
      <c r="A76">
        <v>3091993.6853</v>
      </c>
    </row>
    <row r="77" spans="1:1" x14ac:dyDescent="0.3">
      <c r="A77">
        <v>3214860.7012</v>
      </c>
    </row>
    <row r="78" spans="1:1" x14ac:dyDescent="0.3">
      <c r="A78">
        <v>12943524.257200001</v>
      </c>
    </row>
    <row r="79" spans="1:1" x14ac:dyDescent="0.3">
      <c r="A79">
        <v>6556104.9189999998</v>
      </c>
    </row>
    <row r="80" spans="1:1" x14ac:dyDescent="0.3">
      <c r="A80">
        <v>-1341431.0216000001</v>
      </c>
    </row>
    <row r="81" spans="1:1" x14ac:dyDescent="0.3">
      <c r="A81">
        <v>8741572.6110999994</v>
      </c>
    </row>
    <row r="82" spans="1:1" x14ac:dyDescent="0.3">
      <c r="A82">
        <v>3336136.1882000002</v>
      </c>
    </row>
    <row r="83" spans="1:1" x14ac:dyDescent="0.3">
      <c r="A83">
        <v>318035.2083</v>
      </c>
    </row>
    <row r="84" spans="1:1" x14ac:dyDescent="0.3">
      <c r="A84">
        <v>11386285.2556</v>
      </c>
    </row>
    <row r="85" spans="1:1" x14ac:dyDescent="0.3">
      <c r="A85">
        <v>-1100456.4974</v>
      </c>
    </row>
    <row r="86" spans="1:1" x14ac:dyDescent="0.3">
      <c r="A86">
        <v>1272562.7455</v>
      </c>
    </row>
    <row r="87" spans="1:1" x14ac:dyDescent="0.3">
      <c r="A87">
        <v>-1200593.6784000001</v>
      </c>
    </row>
    <row r="88" spans="1:1" x14ac:dyDescent="0.3">
      <c r="A88">
        <v>-4595254.5941000003</v>
      </c>
    </row>
    <row r="89" spans="1:1" x14ac:dyDescent="0.3">
      <c r="A89">
        <v>315724.51199999999</v>
      </c>
    </row>
    <row r="90" spans="1:1" x14ac:dyDescent="0.3">
      <c r="A90">
        <v>-3801434.5022999998</v>
      </c>
    </row>
    <row r="91" spans="1:1" x14ac:dyDescent="0.3">
      <c r="A91">
        <v>-80262.879400000005</v>
      </c>
    </row>
    <row r="92" spans="1:1" x14ac:dyDescent="0.3">
      <c r="A92">
        <v>7507429.4545</v>
      </c>
    </row>
    <row r="93" spans="1:1" x14ac:dyDescent="0.3">
      <c r="A93">
        <v>-4077496.702</v>
      </c>
    </row>
    <row r="94" spans="1:1" x14ac:dyDescent="0.3">
      <c r="A94">
        <v>597662.31810000003</v>
      </c>
    </row>
    <row r="95" spans="1:1" x14ac:dyDescent="0.3">
      <c r="A95">
        <v>9061757.0508999992</v>
      </c>
    </row>
    <row r="96" spans="1:1" x14ac:dyDescent="0.3">
      <c r="A96">
        <v>12208593.1217</v>
      </c>
    </row>
    <row r="97" spans="1:1" x14ac:dyDescent="0.3">
      <c r="A97">
        <v>-3854247.7584000002</v>
      </c>
    </row>
    <row r="98" spans="1:1" x14ac:dyDescent="0.3">
      <c r="A98">
        <v>-3660383.3497000001</v>
      </c>
    </row>
    <row r="99" spans="1:1" x14ac:dyDescent="0.3">
      <c r="A99">
        <v>4638629.4715</v>
      </c>
    </row>
    <row r="100" spans="1:1" x14ac:dyDescent="0.3">
      <c r="A100">
        <v>-598373.12730000005</v>
      </c>
    </row>
    <row r="101" spans="1:1" x14ac:dyDescent="0.3">
      <c r="A101">
        <v>2426449.1598999999</v>
      </c>
    </row>
    <row r="102" spans="1:1" x14ac:dyDescent="0.3">
      <c r="A102">
        <v>-426454.19170000002</v>
      </c>
    </row>
    <row r="103" spans="1:1" x14ac:dyDescent="0.3">
      <c r="A103">
        <v>-3199801.5496</v>
      </c>
    </row>
    <row r="104" spans="1:1" x14ac:dyDescent="0.3">
      <c r="A104">
        <v>1622973.4432000001</v>
      </c>
    </row>
    <row r="105" spans="1:1" x14ac:dyDescent="0.3">
      <c r="A105">
        <v>9863053.7169000003</v>
      </c>
    </row>
    <row r="106" spans="1:1" x14ac:dyDescent="0.3">
      <c r="A106">
        <v>1772582.0989000001</v>
      </c>
    </row>
    <row r="107" spans="1:1" x14ac:dyDescent="0.3">
      <c r="A107">
        <v>258018.68909999999</v>
      </c>
    </row>
    <row r="108" spans="1:1" x14ac:dyDescent="0.3">
      <c r="A108">
        <v>-5515479.9538000003</v>
      </c>
    </row>
    <row r="109" spans="1:1" x14ac:dyDescent="0.3">
      <c r="A109">
        <v>3656808.1970000002</v>
      </c>
    </row>
    <row r="110" spans="1:1" x14ac:dyDescent="0.3">
      <c r="A110">
        <v>-1386317.7496</v>
      </c>
    </row>
    <row r="111" spans="1:1" x14ac:dyDescent="0.3">
      <c r="A111">
        <v>2625478.3576000002</v>
      </c>
    </row>
    <row r="112" spans="1:1" x14ac:dyDescent="0.3">
      <c r="A112">
        <v>11632799.7881</v>
      </c>
    </row>
    <row r="113" spans="1:1" x14ac:dyDescent="0.3">
      <c r="A113">
        <v>5506838.7052999996</v>
      </c>
    </row>
    <row r="114" spans="1:1" x14ac:dyDescent="0.3">
      <c r="A114">
        <v>10278490.544600001</v>
      </c>
    </row>
    <row r="115" spans="1:1" x14ac:dyDescent="0.3">
      <c r="A115">
        <v>-5301489.9237000002</v>
      </c>
    </row>
    <row r="116" spans="1:1" x14ac:dyDescent="0.3">
      <c r="A116">
        <v>-2828961.4559999998</v>
      </c>
    </row>
    <row r="117" spans="1:1" x14ac:dyDescent="0.3">
      <c r="A117">
        <v>2758561.3812000002</v>
      </c>
    </row>
    <row r="118" spans="1:1" x14ac:dyDescent="0.3">
      <c r="A118">
        <v>7413919.8123000003</v>
      </c>
    </row>
    <row r="119" spans="1:1" x14ac:dyDescent="0.3">
      <c r="A119">
        <v>7975042.5356000001</v>
      </c>
    </row>
    <row r="120" spans="1:1" x14ac:dyDescent="0.3">
      <c r="A120">
        <v>5168314.8213</v>
      </c>
    </row>
    <row r="121" spans="1:1" x14ac:dyDescent="0.3">
      <c r="A121">
        <v>8113977.0694000004</v>
      </c>
    </row>
    <row r="122" spans="1:1" x14ac:dyDescent="0.3">
      <c r="A122">
        <v>10595249.4827</v>
      </c>
    </row>
    <row r="123" spans="1:1" x14ac:dyDescent="0.3">
      <c r="A123">
        <v>14633647.904999999</v>
      </c>
    </row>
    <row r="124" spans="1:1" x14ac:dyDescent="0.3">
      <c r="A124">
        <v>406871.48599999998</v>
      </c>
    </row>
    <row r="125" spans="1:1" x14ac:dyDescent="0.3">
      <c r="A125">
        <v>-2061538.4346</v>
      </c>
    </row>
    <row r="126" spans="1:1" x14ac:dyDescent="0.3">
      <c r="A126">
        <v>727909.25820000004</v>
      </c>
    </row>
    <row r="127" spans="1:1" x14ac:dyDescent="0.3">
      <c r="A127">
        <v>3307927.3914000001</v>
      </c>
    </row>
    <row r="128" spans="1:1" x14ac:dyDescent="0.3">
      <c r="A128">
        <v>-5106935.4952999996</v>
      </c>
    </row>
    <row r="129" spans="1:1" x14ac:dyDescent="0.3">
      <c r="A129">
        <v>17434999.750599999</v>
      </c>
    </row>
    <row r="130" spans="1:1" x14ac:dyDescent="0.3">
      <c r="A130">
        <v>6671546.0389</v>
      </c>
    </row>
    <row r="131" spans="1:1" x14ac:dyDescent="0.3">
      <c r="A131">
        <v>7927508.8343000002</v>
      </c>
    </row>
    <row r="132" spans="1:1" x14ac:dyDescent="0.3">
      <c r="A132">
        <v>-2445773.1464999998</v>
      </c>
    </row>
    <row r="133" spans="1:1" x14ac:dyDescent="0.3">
      <c r="A133">
        <v>2142376.6987999999</v>
      </c>
    </row>
    <row r="134" spans="1:1" x14ac:dyDescent="0.3">
      <c r="A134">
        <v>-3546595.3823000002</v>
      </c>
    </row>
    <row r="135" spans="1:1" x14ac:dyDescent="0.3">
      <c r="A135">
        <v>4727792.9789000005</v>
      </c>
    </row>
    <row r="136" spans="1:1" x14ac:dyDescent="0.3">
      <c r="A136">
        <v>4840969.0827000001</v>
      </c>
    </row>
    <row r="137" spans="1:1" x14ac:dyDescent="0.3">
      <c r="A137">
        <v>-1758848.5955999999</v>
      </c>
    </row>
    <row r="138" spans="1:1" x14ac:dyDescent="0.3">
      <c r="A138">
        <v>9144223.4649999999</v>
      </c>
    </row>
    <row r="139" spans="1:1" x14ac:dyDescent="0.3">
      <c r="A139">
        <v>-1930991.9761999999</v>
      </c>
    </row>
    <row r="140" spans="1:1" x14ac:dyDescent="0.3">
      <c r="A140">
        <v>5965810.9488000004</v>
      </c>
    </row>
    <row r="141" spans="1:1" x14ac:dyDescent="0.3">
      <c r="A141">
        <v>2343097.7524000001</v>
      </c>
    </row>
    <row r="142" spans="1:1" x14ac:dyDescent="0.3">
      <c r="A142">
        <v>4663326.5277000004</v>
      </c>
    </row>
    <row r="143" spans="1:1" x14ac:dyDescent="0.3">
      <c r="A143">
        <v>7899544.9398999996</v>
      </c>
    </row>
    <row r="144" spans="1:1" x14ac:dyDescent="0.3">
      <c r="A144">
        <v>4476577.7825999996</v>
      </c>
    </row>
    <row r="145" spans="1:1" x14ac:dyDescent="0.3">
      <c r="A145">
        <v>-2327299.5872999998</v>
      </c>
    </row>
    <row r="146" spans="1:1" x14ac:dyDescent="0.3">
      <c r="A146">
        <v>-297863.86489999999</v>
      </c>
    </row>
    <row r="147" spans="1:1" x14ac:dyDescent="0.3">
      <c r="A147">
        <v>-1763728.5004</v>
      </c>
    </row>
    <row r="148" spans="1:1" x14ac:dyDescent="0.3">
      <c r="A148">
        <v>-4987101.1473000003</v>
      </c>
    </row>
    <row r="149" spans="1:1" x14ac:dyDescent="0.3">
      <c r="A149">
        <v>-1571897.7826</v>
      </c>
    </row>
    <row r="150" spans="1:1" x14ac:dyDescent="0.3">
      <c r="A150">
        <v>4440072.3505999995</v>
      </c>
    </row>
    <row r="151" spans="1:1" x14ac:dyDescent="0.3">
      <c r="A151">
        <v>2840713.878</v>
      </c>
    </row>
    <row r="152" spans="1:1" x14ac:dyDescent="0.3">
      <c r="A152">
        <v>5664798.2827000003</v>
      </c>
    </row>
    <row r="153" spans="1:1" x14ac:dyDescent="0.3">
      <c r="A153">
        <v>5784481.3316000002</v>
      </c>
    </row>
    <row r="154" spans="1:1" x14ac:dyDescent="0.3">
      <c r="A154">
        <v>2058685.0592</v>
      </c>
    </row>
    <row r="155" spans="1:1" x14ac:dyDescent="0.3">
      <c r="A155">
        <v>4273188.5025000004</v>
      </c>
    </row>
    <row r="156" spans="1:1" x14ac:dyDescent="0.3">
      <c r="A156">
        <v>4017777.6886</v>
      </c>
    </row>
    <row r="157" spans="1:1" x14ac:dyDescent="0.3">
      <c r="A157">
        <v>-3582156.4594999999</v>
      </c>
    </row>
    <row r="158" spans="1:1" x14ac:dyDescent="0.3">
      <c r="A158">
        <v>2649932.5913</v>
      </c>
    </row>
    <row r="159" spans="1:1" x14ac:dyDescent="0.3">
      <c r="A159">
        <v>11418619.040200001</v>
      </c>
    </row>
    <row r="160" spans="1:1" x14ac:dyDescent="0.3">
      <c r="A160">
        <v>1905214.7087000001</v>
      </c>
    </row>
    <row r="161" spans="1:1" x14ac:dyDescent="0.3">
      <c r="A161">
        <v>8065215.2152000004</v>
      </c>
    </row>
    <row r="162" spans="1:1" x14ac:dyDescent="0.3">
      <c r="A162">
        <v>-1687038.1081000001</v>
      </c>
    </row>
    <row r="163" spans="1:1" x14ac:dyDescent="0.3">
      <c r="A163">
        <v>4010497.6499000001</v>
      </c>
    </row>
    <row r="164" spans="1:1" x14ac:dyDescent="0.3">
      <c r="A164">
        <v>-778621.60250000004</v>
      </c>
    </row>
    <row r="165" spans="1:1" x14ac:dyDescent="0.3">
      <c r="A165">
        <v>-2877591.0035000001</v>
      </c>
    </row>
    <row r="166" spans="1:1" x14ac:dyDescent="0.3">
      <c r="A166">
        <v>-2079389.9419</v>
      </c>
    </row>
    <row r="167" spans="1:1" x14ac:dyDescent="0.3">
      <c r="A167">
        <v>5891370.4523</v>
      </c>
    </row>
    <row r="168" spans="1:1" x14ac:dyDescent="0.3">
      <c r="A168">
        <v>9791622.2024000008</v>
      </c>
    </row>
    <row r="169" spans="1:1" x14ac:dyDescent="0.3">
      <c r="A169">
        <v>7541210.8942999998</v>
      </c>
    </row>
    <row r="170" spans="1:1" x14ac:dyDescent="0.3">
      <c r="A170">
        <v>3353443.4859000002</v>
      </c>
    </row>
    <row r="171" spans="1:1" x14ac:dyDescent="0.3">
      <c r="A171">
        <v>5495445.2280000001</v>
      </c>
    </row>
    <row r="172" spans="1:1" x14ac:dyDescent="0.3">
      <c r="A172">
        <v>6009859.0526000001</v>
      </c>
    </row>
    <row r="173" spans="1:1" x14ac:dyDescent="0.3">
      <c r="A173">
        <v>-2319484.7973000002</v>
      </c>
    </row>
    <row r="174" spans="1:1" x14ac:dyDescent="0.3">
      <c r="A174">
        <v>3128556.9501</v>
      </c>
    </row>
    <row r="175" spans="1:1" x14ac:dyDescent="0.3">
      <c r="A175">
        <v>17562066.053199999</v>
      </c>
    </row>
    <row r="176" spans="1:1" x14ac:dyDescent="0.3">
      <c r="A176">
        <v>-74509.874500000005</v>
      </c>
    </row>
    <row r="177" spans="1:1" x14ac:dyDescent="0.3">
      <c r="A177">
        <v>4033430.9725000001</v>
      </c>
    </row>
    <row r="178" spans="1:1" x14ac:dyDescent="0.3">
      <c r="A178">
        <v>39618.387600000002</v>
      </c>
    </row>
    <row r="179" spans="1:1" x14ac:dyDescent="0.3">
      <c r="A179">
        <v>14025047.0001</v>
      </c>
    </row>
    <row r="180" spans="1:1" x14ac:dyDescent="0.3">
      <c r="A180">
        <v>10381689.4069</v>
      </c>
    </row>
    <row r="181" spans="1:1" x14ac:dyDescent="0.3">
      <c r="A181">
        <v>-4369614.0365000004</v>
      </c>
    </row>
    <row r="182" spans="1:1" x14ac:dyDescent="0.3">
      <c r="A182">
        <v>691768.81440000003</v>
      </c>
    </row>
    <row r="183" spans="1:1" x14ac:dyDescent="0.3">
      <c r="A183">
        <v>2193302.2873</v>
      </c>
    </row>
    <row r="184" spans="1:1" x14ac:dyDescent="0.3">
      <c r="A184">
        <v>6339759.1012000004</v>
      </c>
    </row>
    <row r="185" spans="1:1" x14ac:dyDescent="0.3">
      <c r="A185">
        <v>8765333.4677000009</v>
      </c>
    </row>
    <row r="186" spans="1:1" x14ac:dyDescent="0.3">
      <c r="A186">
        <v>3400296.2266000002</v>
      </c>
    </row>
    <row r="187" spans="1:1" x14ac:dyDescent="0.3">
      <c r="A187">
        <v>2079716.1111999999</v>
      </c>
    </row>
    <row r="188" spans="1:1" x14ac:dyDescent="0.3">
      <c r="A188">
        <v>3941679.7713000001</v>
      </c>
    </row>
    <row r="189" spans="1:1" x14ac:dyDescent="0.3">
      <c r="A189">
        <v>6926775.5861999998</v>
      </c>
    </row>
    <row r="190" spans="1:1" x14ac:dyDescent="0.3">
      <c r="A190">
        <v>8542130.7734999992</v>
      </c>
    </row>
    <row r="191" spans="1:1" x14ac:dyDescent="0.3">
      <c r="A191">
        <v>-2614070.9169999999</v>
      </c>
    </row>
    <row r="192" spans="1:1" x14ac:dyDescent="0.3">
      <c r="A192">
        <v>574427.36300000001</v>
      </c>
    </row>
    <row r="193" spans="1:1" x14ac:dyDescent="0.3">
      <c r="A193">
        <v>-2694990.2612999999</v>
      </c>
    </row>
    <row r="194" spans="1:1" x14ac:dyDescent="0.3">
      <c r="A194">
        <v>1232984.9188999999</v>
      </c>
    </row>
    <row r="195" spans="1:1" x14ac:dyDescent="0.3">
      <c r="A195">
        <v>15563887.0505</v>
      </c>
    </row>
    <row r="196" spans="1:1" x14ac:dyDescent="0.3">
      <c r="A196">
        <v>7302408.8563999999</v>
      </c>
    </row>
    <row r="197" spans="1:1" x14ac:dyDescent="0.3">
      <c r="A197">
        <v>-678658.60719999997</v>
      </c>
    </row>
    <row r="198" spans="1:1" x14ac:dyDescent="0.3">
      <c r="A198">
        <v>109665.20570000001</v>
      </c>
    </row>
    <row r="199" spans="1:1" x14ac:dyDescent="0.3">
      <c r="A199">
        <v>9833233.1926000006</v>
      </c>
    </row>
    <row r="200" spans="1:1" x14ac:dyDescent="0.3">
      <c r="A200">
        <v>8076811.4276000001</v>
      </c>
    </row>
    <row r="201" spans="1:1" x14ac:dyDescent="0.3">
      <c r="A201">
        <v>6615751.6748000002</v>
      </c>
    </row>
    <row r="202" spans="1:1" x14ac:dyDescent="0.3">
      <c r="A202">
        <v>4975369.6535</v>
      </c>
    </row>
    <row r="203" spans="1:1" x14ac:dyDescent="0.3">
      <c r="A203">
        <v>-282705.14309999999</v>
      </c>
    </row>
    <row r="204" spans="1:1" x14ac:dyDescent="0.3">
      <c r="A204">
        <v>2070802.3208999999</v>
      </c>
    </row>
    <row r="205" spans="1:1" x14ac:dyDescent="0.3">
      <c r="A205">
        <v>5114295.0218000002</v>
      </c>
    </row>
    <row r="206" spans="1:1" x14ac:dyDescent="0.3">
      <c r="A206">
        <v>9362120.6443000007</v>
      </c>
    </row>
    <row r="207" spans="1:1" x14ac:dyDescent="0.3">
      <c r="A207">
        <v>-829083.89520000003</v>
      </c>
    </row>
    <row r="208" spans="1:1" x14ac:dyDescent="0.3">
      <c r="A208">
        <v>8246940.8030000003</v>
      </c>
    </row>
    <row r="209" spans="1:1" x14ac:dyDescent="0.3">
      <c r="A209">
        <v>1336489.1540000001</v>
      </c>
    </row>
    <row r="210" spans="1:1" x14ac:dyDescent="0.3">
      <c r="A210">
        <v>-943508.87179999996</v>
      </c>
    </row>
    <row r="211" spans="1:1" x14ac:dyDescent="0.3">
      <c r="A211">
        <v>-2117288.1565</v>
      </c>
    </row>
    <row r="212" spans="1:1" x14ac:dyDescent="0.3">
      <c r="A212">
        <v>-993577.44039999996</v>
      </c>
    </row>
    <row r="213" spans="1:1" x14ac:dyDescent="0.3">
      <c r="A213">
        <v>1965656.0649000001</v>
      </c>
    </row>
    <row r="214" spans="1:1" x14ac:dyDescent="0.3">
      <c r="A214">
        <v>1515921.7472000001</v>
      </c>
    </row>
    <row r="215" spans="1:1" x14ac:dyDescent="0.3">
      <c r="A215">
        <v>12438396.066500001</v>
      </c>
    </row>
    <row r="216" spans="1:1" x14ac:dyDescent="0.3">
      <c r="A216">
        <v>2096606.8861</v>
      </c>
    </row>
    <row r="217" spans="1:1" x14ac:dyDescent="0.3">
      <c r="A217">
        <v>293235.39059999998</v>
      </c>
    </row>
    <row r="218" spans="1:1" x14ac:dyDescent="0.3">
      <c r="A218">
        <v>3520378.0610000002</v>
      </c>
    </row>
    <row r="219" spans="1:1" x14ac:dyDescent="0.3">
      <c r="A219">
        <v>6318180.7923999997</v>
      </c>
    </row>
    <row r="220" spans="1:1" x14ac:dyDescent="0.3">
      <c r="A220">
        <v>3364823.6727</v>
      </c>
    </row>
    <row r="221" spans="1:1" x14ac:dyDescent="0.3">
      <c r="A221">
        <v>-5138334.5207000002</v>
      </c>
    </row>
    <row r="222" spans="1:1" x14ac:dyDescent="0.3">
      <c r="A222">
        <v>7748227.4493000004</v>
      </c>
    </row>
    <row r="223" spans="1:1" x14ac:dyDescent="0.3">
      <c r="A223">
        <v>2644617.2940000002</v>
      </c>
    </row>
    <row r="224" spans="1:1" x14ac:dyDescent="0.3">
      <c r="A224">
        <v>9448879.2755999994</v>
      </c>
    </row>
    <row r="225" spans="1:1" x14ac:dyDescent="0.3">
      <c r="A225">
        <v>1154396.1629999999</v>
      </c>
    </row>
    <row r="226" spans="1:1" x14ac:dyDescent="0.3">
      <c r="A226">
        <v>3112357.6734000002</v>
      </c>
    </row>
    <row r="227" spans="1:1" x14ac:dyDescent="0.3">
      <c r="A227">
        <v>-1393474.9763</v>
      </c>
    </row>
    <row r="228" spans="1:1" x14ac:dyDescent="0.3">
      <c r="A228">
        <v>-3745261.2563</v>
      </c>
    </row>
    <row r="229" spans="1:1" x14ac:dyDescent="0.3">
      <c r="A229">
        <v>3180557.7456</v>
      </c>
    </row>
    <row r="230" spans="1:1" x14ac:dyDescent="0.3">
      <c r="A230">
        <v>18080774.908</v>
      </c>
    </row>
    <row r="231" spans="1:1" x14ac:dyDescent="0.3">
      <c r="A231">
        <v>518646.20919999998</v>
      </c>
    </row>
    <row r="232" spans="1:1" x14ac:dyDescent="0.3">
      <c r="A232">
        <v>2706139.9948999998</v>
      </c>
    </row>
    <row r="233" spans="1:1" x14ac:dyDescent="0.3">
      <c r="A233">
        <v>-1933542.7049</v>
      </c>
    </row>
    <row r="234" spans="1:1" x14ac:dyDescent="0.3">
      <c r="A234">
        <v>792621.95719999995</v>
      </c>
    </row>
    <row r="235" spans="1:1" x14ac:dyDescent="0.3">
      <c r="A235">
        <v>8330532.4302000003</v>
      </c>
    </row>
    <row r="236" spans="1:1" x14ac:dyDescent="0.3">
      <c r="A236">
        <v>-347190.6973</v>
      </c>
    </row>
    <row r="237" spans="1:1" x14ac:dyDescent="0.3">
      <c r="A237">
        <v>8479757.0756999999</v>
      </c>
    </row>
    <row r="238" spans="1:1" x14ac:dyDescent="0.3">
      <c r="A238">
        <v>65041.487500000003</v>
      </c>
    </row>
    <row r="239" spans="1:1" x14ac:dyDescent="0.3">
      <c r="A239">
        <v>1786402.4624999999</v>
      </c>
    </row>
    <row r="240" spans="1:1" x14ac:dyDescent="0.3">
      <c r="A240">
        <v>418220.69020000001</v>
      </c>
    </row>
    <row r="241" spans="1:1" x14ac:dyDescent="0.3">
      <c r="A241">
        <v>2081462.4591000001</v>
      </c>
    </row>
    <row r="242" spans="1:1" x14ac:dyDescent="0.3">
      <c r="A242">
        <v>8477605.2010999992</v>
      </c>
    </row>
    <row r="243" spans="1:1" x14ac:dyDescent="0.3">
      <c r="A243">
        <v>8017364.2165999999</v>
      </c>
    </row>
    <row r="244" spans="1:1" x14ac:dyDescent="0.3">
      <c r="A244">
        <v>10188679.730900001</v>
      </c>
    </row>
    <row r="245" spans="1:1" x14ac:dyDescent="0.3">
      <c r="A245">
        <v>9769034.0815999992</v>
      </c>
    </row>
    <row r="246" spans="1:1" x14ac:dyDescent="0.3">
      <c r="A246">
        <v>6135536.8229999999</v>
      </c>
    </row>
    <row r="247" spans="1:1" x14ac:dyDescent="0.3">
      <c r="A247">
        <v>1819495.1122999999</v>
      </c>
    </row>
    <row r="248" spans="1:1" x14ac:dyDescent="0.3">
      <c r="A248">
        <v>4192678.6871000002</v>
      </c>
    </row>
    <row r="249" spans="1:1" x14ac:dyDescent="0.3">
      <c r="A249">
        <v>3013680.5917000002</v>
      </c>
    </row>
    <row r="250" spans="1:1" x14ac:dyDescent="0.3">
      <c r="A250">
        <v>7232316.4616999999</v>
      </c>
    </row>
    <row r="251" spans="1:1" x14ac:dyDescent="0.3">
      <c r="A251">
        <v>324746.9056</v>
      </c>
    </row>
    <row r="252" spans="1:1" x14ac:dyDescent="0.3">
      <c r="A252">
        <v>-3549820.7111999998</v>
      </c>
    </row>
    <row r="253" spans="1:1" x14ac:dyDescent="0.3">
      <c r="A253">
        <v>-2150772.8498</v>
      </c>
    </row>
    <row r="254" spans="1:1" x14ac:dyDescent="0.3">
      <c r="A254">
        <v>13473605.0514</v>
      </c>
    </row>
    <row r="255" spans="1:1" x14ac:dyDescent="0.3">
      <c r="A255">
        <v>1057723.3766000001</v>
      </c>
    </row>
    <row r="256" spans="1:1" x14ac:dyDescent="0.3">
      <c r="A256">
        <v>443300.21419999999</v>
      </c>
    </row>
    <row r="257" spans="1:1" x14ac:dyDescent="0.3">
      <c r="A257">
        <v>-413755.54840000003</v>
      </c>
    </row>
    <row r="258" spans="1:1" x14ac:dyDescent="0.3">
      <c r="A258">
        <v>1537495.2315</v>
      </c>
    </row>
    <row r="259" spans="1:1" x14ac:dyDescent="0.3">
      <c r="A259">
        <v>-1198005.6133000001</v>
      </c>
    </row>
    <row r="260" spans="1:1" x14ac:dyDescent="0.3">
      <c r="A260">
        <v>7039310.0683000004</v>
      </c>
    </row>
    <row r="261" spans="1:1" x14ac:dyDescent="0.3">
      <c r="A261">
        <v>-3834289.5287000001</v>
      </c>
    </row>
    <row r="262" spans="1:1" x14ac:dyDescent="0.3">
      <c r="A262">
        <v>3388948.0150000001</v>
      </c>
    </row>
    <row r="263" spans="1:1" x14ac:dyDescent="0.3">
      <c r="A263">
        <v>11931597.455800001</v>
      </c>
    </row>
    <row r="264" spans="1:1" x14ac:dyDescent="0.3">
      <c r="A264">
        <v>5679922.3299000002</v>
      </c>
    </row>
    <row r="265" spans="1:1" x14ac:dyDescent="0.3">
      <c r="A265">
        <v>9327484.3284000009</v>
      </c>
    </row>
    <row r="266" spans="1:1" x14ac:dyDescent="0.3">
      <c r="A266">
        <v>4980129.3441000003</v>
      </c>
    </row>
    <row r="267" spans="1:1" x14ac:dyDescent="0.3">
      <c r="A267">
        <v>-2357475.7930000001</v>
      </c>
    </row>
    <row r="268" spans="1:1" x14ac:dyDescent="0.3">
      <c r="A268">
        <v>852874.47050000005</v>
      </c>
    </row>
    <row r="269" spans="1:1" x14ac:dyDescent="0.3">
      <c r="A269">
        <v>-1474923.9238</v>
      </c>
    </row>
    <row r="270" spans="1:1" x14ac:dyDescent="0.3">
      <c r="A270">
        <v>886982.45730000001</v>
      </c>
    </row>
    <row r="271" spans="1:1" x14ac:dyDescent="0.3">
      <c r="A271">
        <v>-2399392.8420000002</v>
      </c>
    </row>
    <row r="272" spans="1:1" x14ac:dyDescent="0.3">
      <c r="A272">
        <v>6196005.2647000002</v>
      </c>
    </row>
    <row r="273" spans="1:1" x14ac:dyDescent="0.3">
      <c r="A273">
        <v>-2678641.0702999998</v>
      </c>
    </row>
    <row r="274" spans="1:1" x14ac:dyDescent="0.3">
      <c r="A274">
        <v>-529767.45920000004</v>
      </c>
    </row>
    <row r="275" spans="1:1" x14ac:dyDescent="0.3">
      <c r="A275">
        <v>557744.84409999999</v>
      </c>
    </row>
    <row r="276" spans="1:1" x14ac:dyDescent="0.3">
      <c r="A276">
        <v>-2432689.7938000001</v>
      </c>
    </row>
    <row r="277" spans="1:1" x14ac:dyDescent="0.3">
      <c r="A277">
        <v>7011949.1216000002</v>
      </c>
    </row>
    <row r="278" spans="1:1" x14ac:dyDescent="0.3">
      <c r="A278">
        <v>10431938.1359</v>
      </c>
    </row>
    <row r="279" spans="1:1" x14ac:dyDescent="0.3">
      <c r="A279">
        <v>5824985.9691000003</v>
      </c>
    </row>
    <row r="280" spans="1:1" x14ac:dyDescent="0.3">
      <c r="A280">
        <v>528689.14110000001</v>
      </c>
    </row>
    <row r="281" spans="1:1" x14ac:dyDescent="0.3">
      <c r="A281">
        <v>-4858541.7335000001</v>
      </c>
    </row>
    <row r="282" spans="1:1" x14ac:dyDescent="0.3">
      <c r="A282">
        <v>78830.571500000005</v>
      </c>
    </row>
    <row r="283" spans="1:1" x14ac:dyDescent="0.3">
      <c r="A283">
        <v>5945927.5762999998</v>
      </c>
    </row>
    <row r="284" spans="1:1" x14ac:dyDescent="0.3">
      <c r="A284">
        <v>2762204.2645</v>
      </c>
    </row>
    <row r="285" spans="1:1" x14ac:dyDescent="0.3">
      <c r="A285">
        <v>-2669811.0285999998</v>
      </c>
    </row>
    <row r="286" spans="1:1" x14ac:dyDescent="0.3">
      <c r="A286">
        <v>844452.44759999996</v>
      </c>
    </row>
    <row r="287" spans="1:1" x14ac:dyDescent="0.3">
      <c r="A287">
        <v>3058128.5666999999</v>
      </c>
    </row>
    <row r="288" spans="1:1" x14ac:dyDescent="0.3">
      <c r="A288">
        <v>310410.7316</v>
      </c>
    </row>
    <row r="289" spans="1:1" x14ac:dyDescent="0.3">
      <c r="A289">
        <v>-786874.67790000001</v>
      </c>
    </row>
    <row r="290" spans="1:1" x14ac:dyDescent="0.3">
      <c r="A290">
        <v>1607240.3230000001</v>
      </c>
    </row>
    <row r="291" spans="1:1" x14ac:dyDescent="0.3">
      <c r="A291">
        <v>1965970.59</v>
      </c>
    </row>
    <row r="292" spans="1:1" x14ac:dyDescent="0.3">
      <c r="A292">
        <v>-1456948.2201</v>
      </c>
    </row>
    <row r="293" spans="1:1" x14ac:dyDescent="0.3">
      <c r="A293">
        <v>14953043.676899999</v>
      </c>
    </row>
    <row r="294" spans="1:1" x14ac:dyDescent="0.3">
      <c r="A294">
        <v>-2130984.4139</v>
      </c>
    </row>
    <row r="295" spans="1:1" x14ac:dyDescent="0.3">
      <c r="A295">
        <v>3674686.6743000001</v>
      </c>
    </row>
    <row r="296" spans="1:1" x14ac:dyDescent="0.3">
      <c r="A296">
        <v>-2581324.3837000001</v>
      </c>
    </row>
    <row r="297" spans="1:1" x14ac:dyDescent="0.3">
      <c r="A297">
        <v>357002.14779999998</v>
      </c>
    </row>
    <row r="298" spans="1:1" x14ac:dyDescent="0.3">
      <c r="A298">
        <v>4793831.5064000003</v>
      </c>
    </row>
    <row r="299" spans="1:1" x14ac:dyDescent="0.3">
      <c r="A299">
        <v>867617.64139999996</v>
      </c>
    </row>
    <row r="300" spans="1:1" x14ac:dyDescent="0.3">
      <c r="A300">
        <v>4300662.4641000004</v>
      </c>
    </row>
    <row r="301" spans="1:1" x14ac:dyDescent="0.3">
      <c r="A301">
        <v>1034176.4738</v>
      </c>
    </row>
    <row r="302" spans="1:1" x14ac:dyDescent="0.3">
      <c r="A302">
        <v>-216047.49729999999</v>
      </c>
    </row>
    <row r="303" spans="1:1" x14ac:dyDescent="0.3">
      <c r="A303">
        <v>4582178.3702999996</v>
      </c>
    </row>
    <row r="304" spans="1:1" x14ac:dyDescent="0.3">
      <c r="A304">
        <v>2383442.9591000001</v>
      </c>
    </row>
    <row r="305" spans="1:1" x14ac:dyDescent="0.3">
      <c r="A305">
        <v>2712893.9531</v>
      </c>
    </row>
    <row r="306" spans="1:1" x14ac:dyDescent="0.3">
      <c r="A306">
        <v>10330854.8281</v>
      </c>
    </row>
    <row r="307" spans="1:1" x14ac:dyDescent="0.3">
      <c r="A307">
        <v>3384483.7559000002</v>
      </c>
    </row>
    <row r="308" spans="1:1" x14ac:dyDescent="0.3">
      <c r="A308">
        <v>16294784.362500001</v>
      </c>
    </row>
    <row r="309" spans="1:1" x14ac:dyDescent="0.3">
      <c r="A309">
        <v>3136405.5756999999</v>
      </c>
    </row>
    <row r="310" spans="1:1" x14ac:dyDescent="0.3">
      <c r="A310">
        <v>11506296.832900001</v>
      </c>
    </row>
    <row r="311" spans="1:1" x14ac:dyDescent="0.3">
      <c r="A311">
        <v>13022926.949100001</v>
      </c>
    </row>
    <row r="312" spans="1:1" x14ac:dyDescent="0.3">
      <c r="A312">
        <v>3433513.5496</v>
      </c>
    </row>
    <row r="313" spans="1:1" x14ac:dyDescent="0.3">
      <c r="A313">
        <v>11528226.4767</v>
      </c>
    </row>
    <row r="314" spans="1:1" x14ac:dyDescent="0.3">
      <c r="A314">
        <v>-3263764.6652000002</v>
      </c>
    </row>
    <row r="315" spans="1:1" x14ac:dyDescent="0.3">
      <c r="A315">
        <v>3075113.8158</v>
      </c>
    </row>
    <row r="316" spans="1:1" x14ac:dyDescent="0.3">
      <c r="A316">
        <v>4293699.3833999997</v>
      </c>
    </row>
    <row r="317" spans="1:1" x14ac:dyDescent="0.3">
      <c r="A317">
        <v>7145585.4232000001</v>
      </c>
    </row>
    <row r="318" spans="1:1" x14ac:dyDescent="0.3">
      <c r="A318">
        <v>12661387.626599999</v>
      </c>
    </row>
    <row r="319" spans="1:1" x14ac:dyDescent="0.3">
      <c r="A319">
        <v>3886085.5266</v>
      </c>
    </row>
    <row r="320" spans="1:1" x14ac:dyDescent="0.3">
      <c r="A320">
        <v>-962454.13399999996</v>
      </c>
    </row>
    <row r="321" spans="1:1" x14ac:dyDescent="0.3">
      <c r="A321">
        <v>354207.71340000001</v>
      </c>
    </row>
    <row r="322" spans="1:1" x14ac:dyDescent="0.3">
      <c r="A322">
        <v>6926482.9419999998</v>
      </c>
    </row>
    <row r="323" spans="1:1" x14ac:dyDescent="0.3">
      <c r="A323">
        <v>4852617.5136000002</v>
      </c>
    </row>
    <row r="324" spans="1:1" x14ac:dyDescent="0.3">
      <c r="A324">
        <v>5474311.4119999995</v>
      </c>
    </row>
    <row r="325" spans="1:1" x14ac:dyDescent="0.3">
      <c r="A325">
        <v>-5109641.8042000001</v>
      </c>
    </row>
    <row r="326" spans="1:1" x14ac:dyDescent="0.3">
      <c r="A326">
        <v>-2510615.2645999999</v>
      </c>
    </row>
    <row r="327" spans="1:1" x14ac:dyDescent="0.3">
      <c r="A327">
        <v>-3787741.9972000001</v>
      </c>
    </row>
    <row r="328" spans="1:1" x14ac:dyDescent="0.3">
      <c r="A328">
        <v>6385473.1584000001</v>
      </c>
    </row>
    <row r="329" spans="1:1" x14ac:dyDescent="0.3">
      <c r="A329">
        <v>2650614.9748999998</v>
      </c>
    </row>
    <row r="330" spans="1:1" x14ac:dyDescent="0.3">
      <c r="A330">
        <v>10913863.0623</v>
      </c>
    </row>
    <row r="331" spans="1:1" x14ac:dyDescent="0.3">
      <c r="A331">
        <v>-3411252.5444999998</v>
      </c>
    </row>
    <row r="332" spans="1:1" x14ac:dyDescent="0.3">
      <c r="A332">
        <v>6049149.4786999999</v>
      </c>
    </row>
    <row r="333" spans="1:1" x14ac:dyDescent="0.3">
      <c r="A333">
        <v>1557641.0819000001</v>
      </c>
    </row>
    <row r="334" spans="1:1" x14ac:dyDescent="0.3">
      <c r="A334">
        <v>7682436.2873</v>
      </c>
    </row>
    <row r="335" spans="1:1" x14ac:dyDescent="0.3">
      <c r="A335">
        <v>4966312.9737</v>
      </c>
    </row>
    <row r="336" spans="1:1" x14ac:dyDescent="0.3">
      <c r="A336">
        <v>3417012.1779</v>
      </c>
    </row>
    <row r="337" spans="1:1" x14ac:dyDescent="0.3">
      <c r="A337">
        <v>-487819.82150000002</v>
      </c>
    </row>
    <row r="338" spans="1:1" x14ac:dyDescent="0.3">
      <c r="A338">
        <v>4688980.4045000002</v>
      </c>
    </row>
    <row r="339" spans="1:1" x14ac:dyDescent="0.3">
      <c r="A339">
        <v>4703451.3914999999</v>
      </c>
    </row>
    <row r="340" spans="1:1" x14ac:dyDescent="0.3">
      <c r="A340">
        <v>11309735.286499999</v>
      </c>
    </row>
    <row r="341" spans="1:1" x14ac:dyDescent="0.3">
      <c r="A341">
        <v>1309539.5399</v>
      </c>
    </row>
    <row r="342" spans="1:1" x14ac:dyDescent="0.3">
      <c r="A342">
        <v>3733542.4289000002</v>
      </c>
    </row>
    <row r="343" spans="1:1" x14ac:dyDescent="0.3">
      <c r="A343">
        <v>9886960.3279999997</v>
      </c>
    </row>
    <row r="344" spans="1:1" x14ac:dyDescent="0.3">
      <c r="A344">
        <v>5149086.6904999996</v>
      </c>
    </row>
    <row r="345" spans="1:1" x14ac:dyDescent="0.3">
      <c r="A345">
        <v>-1316202.5733</v>
      </c>
    </row>
    <row r="346" spans="1:1" x14ac:dyDescent="0.3">
      <c r="A346">
        <v>8783449.1077999994</v>
      </c>
    </row>
    <row r="347" spans="1:1" x14ac:dyDescent="0.3">
      <c r="A347">
        <v>10813270.3485</v>
      </c>
    </row>
    <row r="348" spans="1:1" x14ac:dyDescent="0.3">
      <c r="A348">
        <v>2834252.9429000001</v>
      </c>
    </row>
    <row r="349" spans="1:1" x14ac:dyDescent="0.3">
      <c r="A349">
        <v>7537062.9807000002</v>
      </c>
    </row>
    <row r="350" spans="1:1" x14ac:dyDescent="0.3">
      <c r="A350">
        <v>13248890.926200001</v>
      </c>
    </row>
    <row r="351" spans="1:1" x14ac:dyDescent="0.3">
      <c r="A351">
        <v>10743708.976</v>
      </c>
    </row>
    <row r="352" spans="1:1" x14ac:dyDescent="0.3">
      <c r="A352">
        <v>17862641.132199999</v>
      </c>
    </row>
    <row r="353" spans="1:1" x14ac:dyDescent="0.3">
      <c r="A353">
        <v>-3550538.8350999998</v>
      </c>
    </row>
    <row r="354" spans="1:1" x14ac:dyDescent="0.3">
      <c r="A354">
        <v>4942017.9323000005</v>
      </c>
    </row>
    <row r="355" spans="1:1" x14ac:dyDescent="0.3">
      <c r="A355">
        <v>-2290095.2776000001</v>
      </c>
    </row>
    <row r="356" spans="1:1" x14ac:dyDescent="0.3">
      <c r="A356">
        <v>3418354.2401999999</v>
      </c>
    </row>
    <row r="357" spans="1:1" x14ac:dyDescent="0.3">
      <c r="A357">
        <v>10497147.1941</v>
      </c>
    </row>
    <row r="358" spans="1:1" x14ac:dyDescent="0.3">
      <c r="A358">
        <v>6182624.4160000002</v>
      </c>
    </row>
    <row r="359" spans="1:1" x14ac:dyDescent="0.3">
      <c r="A359">
        <v>-2405338.8119000001</v>
      </c>
    </row>
    <row r="360" spans="1:1" x14ac:dyDescent="0.3">
      <c r="A360">
        <v>4306900.2235000003</v>
      </c>
    </row>
    <row r="361" spans="1:1" x14ac:dyDescent="0.3">
      <c r="A361">
        <v>3831269.9386</v>
      </c>
    </row>
    <row r="362" spans="1:1" x14ac:dyDescent="0.3">
      <c r="A362">
        <v>5130444.4188999999</v>
      </c>
    </row>
    <row r="363" spans="1:1" x14ac:dyDescent="0.3">
      <c r="A363">
        <v>-2683640.8494000002</v>
      </c>
    </row>
    <row r="364" spans="1:1" x14ac:dyDescent="0.3">
      <c r="A364">
        <v>3164261.7203000002</v>
      </c>
    </row>
    <row r="365" spans="1:1" x14ac:dyDescent="0.3">
      <c r="A365">
        <v>6240214.8860999998</v>
      </c>
    </row>
    <row r="366" spans="1:1" x14ac:dyDescent="0.3">
      <c r="A366">
        <v>-5406746.7468999997</v>
      </c>
    </row>
    <row r="367" spans="1:1" x14ac:dyDescent="0.3">
      <c r="A367">
        <v>-2978705.5773999998</v>
      </c>
    </row>
    <row r="368" spans="1:1" x14ac:dyDescent="0.3">
      <c r="A368">
        <v>7969026.3234999999</v>
      </c>
    </row>
    <row r="369" spans="1:1" x14ac:dyDescent="0.3">
      <c r="A369">
        <v>15854510.554300001</v>
      </c>
    </row>
    <row r="370" spans="1:1" x14ac:dyDescent="0.3">
      <c r="A370">
        <v>-537228.0111</v>
      </c>
    </row>
    <row r="371" spans="1:1" x14ac:dyDescent="0.3">
      <c r="A371">
        <v>7041959.9791000001</v>
      </c>
    </row>
    <row r="372" spans="1:1" x14ac:dyDescent="0.3">
      <c r="A372">
        <v>-1432544.1513</v>
      </c>
    </row>
    <row r="373" spans="1:1" x14ac:dyDescent="0.3">
      <c r="A373">
        <v>9785820.9250000007</v>
      </c>
    </row>
    <row r="374" spans="1:1" x14ac:dyDescent="0.3">
      <c r="A374">
        <v>6819690.0570999999</v>
      </c>
    </row>
    <row r="375" spans="1:1" x14ac:dyDescent="0.3">
      <c r="A375">
        <v>6112810.7033000002</v>
      </c>
    </row>
    <row r="376" spans="1:1" x14ac:dyDescent="0.3">
      <c r="A376">
        <v>120427.6349</v>
      </c>
    </row>
    <row r="377" spans="1:1" x14ac:dyDescent="0.3">
      <c r="A377">
        <v>5993299.6467000004</v>
      </c>
    </row>
    <row r="378" spans="1:1" x14ac:dyDescent="0.3">
      <c r="A378">
        <v>2891544.9937999998</v>
      </c>
    </row>
    <row r="379" spans="1:1" x14ac:dyDescent="0.3">
      <c r="A379">
        <v>11345338.5319</v>
      </c>
    </row>
    <row r="380" spans="1:1" x14ac:dyDescent="0.3">
      <c r="A380">
        <v>10960711.9659</v>
      </c>
    </row>
    <row r="381" spans="1:1" x14ac:dyDescent="0.3">
      <c r="A381">
        <v>2748225.6090000002</v>
      </c>
    </row>
    <row r="382" spans="1:1" x14ac:dyDescent="0.3">
      <c r="A382">
        <v>4365655.4090999998</v>
      </c>
    </row>
    <row r="383" spans="1:1" x14ac:dyDescent="0.3">
      <c r="A383">
        <v>1905472.6876000001</v>
      </c>
    </row>
    <row r="384" spans="1:1" x14ac:dyDescent="0.3">
      <c r="A384">
        <v>562734.34880000004</v>
      </c>
    </row>
    <row r="385" spans="1:1" x14ac:dyDescent="0.3">
      <c r="A385">
        <v>2195818.1943999999</v>
      </c>
    </row>
    <row r="386" spans="1:1" x14ac:dyDescent="0.3">
      <c r="A386">
        <v>-1377675.2897000001</v>
      </c>
    </row>
    <row r="387" spans="1:1" x14ac:dyDescent="0.3">
      <c r="A387">
        <v>436200.3187</v>
      </c>
    </row>
    <row r="388" spans="1:1" x14ac:dyDescent="0.3">
      <c r="A388">
        <v>9426236.8309000004</v>
      </c>
    </row>
    <row r="389" spans="1:1" x14ac:dyDescent="0.3">
      <c r="A389">
        <v>2954516.4632999999</v>
      </c>
    </row>
    <row r="390" spans="1:1" x14ac:dyDescent="0.3">
      <c r="A390">
        <v>4318656.1637000004</v>
      </c>
    </row>
    <row r="391" spans="1:1" x14ac:dyDescent="0.3">
      <c r="A391">
        <v>2423265.1420999998</v>
      </c>
    </row>
    <row r="392" spans="1:1" x14ac:dyDescent="0.3">
      <c r="A392">
        <v>5264499.3197999997</v>
      </c>
    </row>
    <row r="393" spans="1:1" x14ac:dyDescent="0.3">
      <c r="A393">
        <v>1880529.9685</v>
      </c>
    </row>
    <row r="394" spans="1:1" x14ac:dyDescent="0.3">
      <c r="A394">
        <v>4253376.915</v>
      </c>
    </row>
    <row r="395" spans="1:1" x14ac:dyDescent="0.3">
      <c r="A395">
        <v>1409123.2753999999</v>
      </c>
    </row>
    <row r="396" spans="1:1" x14ac:dyDescent="0.3">
      <c r="A396">
        <v>-6336696.2922</v>
      </c>
    </row>
    <row r="397" spans="1:1" x14ac:dyDescent="0.3">
      <c r="A397">
        <v>3334719.9169999999</v>
      </c>
    </row>
    <row r="398" spans="1:1" x14ac:dyDescent="0.3">
      <c r="A398">
        <v>-3935534.2381000002</v>
      </c>
    </row>
    <row r="399" spans="1:1" x14ac:dyDescent="0.3">
      <c r="A399">
        <v>-2218842.8319000001</v>
      </c>
    </row>
    <row r="400" spans="1:1" x14ac:dyDescent="0.3">
      <c r="A400">
        <v>5072122.7509000003</v>
      </c>
    </row>
    <row r="401" spans="1:1" x14ac:dyDescent="0.3">
      <c r="A401">
        <v>8055492.4299999997</v>
      </c>
    </row>
    <row r="402" spans="1:1" x14ac:dyDescent="0.3">
      <c r="A402">
        <v>1780778.3873000001</v>
      </c>
    </row>
    <row r="403" spans="1:1" x14ac:dyDescent="0.3">
      <c r="A403">
        <v>-3720109.1691000001</v>
      </c>
    </row>
    <row r="404" spans="1:1" x14ac:dyDescent="0.3">
      <c r="A404">
        <v>6163851.5857999995</v>
      </c>
    </row>
    <row r="405" spans="1:1" x14ac:dyDescent="0.3">
      <c r="A405">
        <v>1352171.0841000001</v>
      </c>
    </row>
    <row r="406" spans="1:1" x14ac:dyDescent="0.3">
      <c r="A406">
        <v>5566177.9499000004</v>
      </c>
    </row>
    <row r="407" spans="1:1" x14ac:dyDescent="0.3">
      <c r="A407">
        <v>6363591.0957000004</v>
      </c>
    </row>
    <row r="408" spans="1:1" x14ac:dyDescent="0.3">
      <c r="A408">
        <v>-498761.45929999999</v>
      </c>
    </row>
    <row r="409" spans="1:1" x14ac:dyDescent="0.3">
      <c r="A409">
        <v>1248139.1703999999</v>
      </c>
    </row>
    <row r="410" spans="1:1" x14ac:dyDescent="0.3">
      <c r="A410">
        <v>11240569.8848</v>
      </c>
    </row>
    <row r="411" spans="1:1" x14ac:dyDescent="0.3">
      <c r="A411">
        <v>9913660.8991</v>
      </c>
    </row>
    <row r="412" spans="1:1" x14ac:dyDescent="0.3">
      <c r="A412">
        <v>11147832.7829</v>
      </c>
    </row>
    <row r="413" spans="1:1" x14ac:dyDescent="0.3">
      <c r="A413">
        <v>6688014.6020999998</v>
      </c>
    </row>
    <row r="414" spans="1:1" x14ac:dyDescent="0.3">
      <c r="A414">
        <v>8569547.8416000009</v>
      </c>
    </row>
    <row r="415" spans="1:1" x14ac:dyDescent="0.3">
      <c r="A415">
        <v>4573013.3722000001</v>
      </c>
    </row>
    <row r="416" spans="1:1" x14ac:dyDescent="0.3">
      <c r="A416">
        <v>9389573.6741000004</v>
      </c>
    </row>
    <row r="417" spans="1:1" x14ac:dyDescent="0.3">
      <c r="A417">
        <v>8408771.5399999991</v>
      </c>
    </row>
    <row r="418" spans="1:1" x14ac:dyDescent="0.3">
      <c r="A418">
        <v>1120271.5578999999</v>
      </c>
    </row>
    <row r="419" spans="1:1" x14ac:dyDescent="0.3">
      <c r="A419">
        <v>-4178186.4446</v>
      </c>
    </row>
    <row r="420" spans="1:1" x14ac:dyDescent="0.3">
      <c r="A420">
        <v>4182477.9010000001</v>
      </c>
    </row>
    <row r="421" spans="1:1" x14ac:dyDescent="0.3">
      <c r="A421">
        <v>-742208.83589999995</v>
      </c>
    </row>
    <row r="422" spans="1:1" x14ac:dyDescent="0.3">
      <c r="A422">
        <v>6398220.9053999996</v>
      </c>
    </row>
    <row r="423" spans="1:1" x14ac:dyDescent="0.3">
      <c r="A423">
        <v>8337313.6264000004</v>
      </c>
    </row>
    <row r="424" spans="1:1" x14ac:dyDescent="0.3">
      <c r="A424">
        <v>1578851.3726999999</v>
      </c>
    </row>
    <row r="425" spans="1:1" x14ac:dyDescent="0.3">
      <c r="A425">
        <v>-1571624.6011999999</v>
      </c>
    </row>
    <row r="426" spans="1:1" x14ac:dyDescent="0.3">
      <c r="A426">
        <v>4548471.8658999996</v>
      </c>
    </row>
    <row r="427" spans="1:1" x14ac:dyDescent="0.3">
      <c r="A427">
        <v>3020871.2877000002</v>
      </c>
    </row>
    <row r="428" spans="1:1" x14ac:dyDescent="0.3">
      <c r="A428">
        <v>466500.89069999999</v>
      </c>
    </row>
    <row r="429" spans="1:1" x14ac:dyDescent="0.3">
      <c r="A429">
        <v>-894701.60589999997</v>
      </c>
    </row>
    <row r="430" spans="1:1" x14ac:dyDescent="0.3">
      <c r="A430">
        <v>8451863.7211000007</v>
      </c>
    </row>
    <row r="431" spans="1:1" x14ac:dyDescent="0.3">
      <c r="A431">
        <v>2438010.5808999999</v>
      </c>
    </row>
    <row r="432" spans="1:1" x14ac:dyDescent="0.3">
      <c r="A432">
        <v>6768207.9238999998</v>
      </c>
    </row>
    <row r="433" spans="1:1" x14ac:dyDescent="0.3">
      <c r="A433">
        <v>2412876.3520999998</v>
      </c>
    </row>
    <row r="434" spans="1:1" x14ac:dyDescent="0.3">
      <c r="A434">
        <v>2678988.2610999998</v>
      </c>
    </row>
    <row r="435" spans="1:1" x14ac:dyDescent="0.3">
      <c r="A435">
        <v>2956661.5118</v>
      </c>
    </row>
    <row r="436" spans="1:1" x14ac:dyDescent="0.3">
      <c r="A436">
        <v>3111811.1066000001</v>
      </c>
    </row>
    <row r="437" spans="1:1" x14ac:dyDescent="0.3">
      <c r="A437">
        <v>5305857.6452000001</v>
      </c>
    </row>
    <row r="438" spans="1:1" x14ac:dyDescent="0.3">
      <c r="A438">
        <v>2939057.3546000002</v>
      </c>
    </row>
    <row r="439" spans="1:1" x14ac:dyDescent="0.3">
      <c r="A439">
        <v>13123001.4947</v>
      </c>
    </row>
    <row r="440" spans="1:1" x14ac:dyDescent="0.3">
      <c r="A440">
        <v>11309343.4344</v>
      </c>
    </row>
    <row r="441" spans="1:1" x14ac:dyDescent="0.3">
      <c r="A441">
        <v>-3404504.2922999999</v>
      </c>
    </row>
    <row r="442" spans="1:1" x14ac:dyDescent="0.3">
      <c r="A442">
        <v>4768200.8792000003</v>
      </c>
    </row>
    <row r="443" spans="1:1" x14ac:dyDescent="0.3">
      <c r="A443">
        <v>5167517.7511</v>
      </c>
    </row>
    <row r="444" spans="1:1" x14ac:dyDescent="0.3">
      <c r="A444">
        <v>8311435.2493000003</v>
      </c>
    </row>
    <row r="445" spans="1:1" x14ac:dyDescent="0.3">
      <c r="A445">
        <v>5744142.7165999999</v>
      </c>
    </row>
    <row r="446" spans="1:1" x14ac:dyDescent="0.3">
      <c r="A446">
        <v>-3132150.5704000001</v>
      </c>
    </row>
    <row r="447" spans="1:1" x14ac:dyDescent="0.3">
      <c r="A447">
        <v>1500622.3067000001</v>
      </c>
    </row>
    <row r="448" spans="1:1" x14ac:dyDescent="0.3">
      <c r="A448">
        <v>748335.53780000005</v>
      </c>
    </row>
    <row r="449" spans="1:1" x14ac:dyDescent="0.3">
      <c r="A449">
        <v>854576.41879999998</v>
      </c>
    </row>
    <row r="450" spans="1:1" x14ac:dyDescent="0.3">
      <c r="A450">
        <v>2169017.8933000001</v>
      </c>
    </row>
    <row r="451" spans="1:1" x14ac:dyDescent="0.3">
      <c r="A451">
        <v>4249472.7023999998</v>
      </c>
    </row>
    <row r="452" spans="1:1" x14ac:dyDescent="0.3">
      <c r="A452">
        <v>-3832328.5096999998</v>
      </c>
    </row>
    <row r="453" spans="1:1" x14ac:dyDescent="0.3">
      <c r="A453">
        <v>5083497.1380000003</v>
      </c>
    </row>
    <row r="454" spans="1:1" x14ac:dyDescent="0.3">
      <c r="A454">
        <v>-3913725.1036999999</v>
      </c>
    </row>
    <row r="455" spans="1:1" x14ac:dyDescent="0.3">
      <c r="A455">
        <v>706835.94469999999</v>
      </c>
    </row>
    <row r="456" spans="1:1" x14ac:dyDescent="0.3">
      <c r="A456">
        <v>6792270.8141000001</v>
      </c>
    </row>
    <row r="457" spans="1:1" x14ac:dyDescent="0.3">
      <c r="A457">
        <v>-2733875.6551999999</v>
      </c>
    </row>
    <row r="458" spans="1:1" x14ac:dyDescent="0.3">
      <c r="A458">
        <v>3320633.7639000001</v>
      </c>
    </row>
    <row r="459" spans="1:1" x14ac:dyDescent="0.3">
      <c r="A459">
        <v>-3845620.2960999999</v>
      </c>
    </row>
    <row r="460" spans="1:1" x14ac:dyDescent="0.3">
      <c r="A460">
        <v>4730759.3192999996</v>
      </c>
    </row>
    <row r="461" spans="1:1" x14ac:dyDescent="0.3">
      <c r="A461">
        <v>2182123.1982999998</v>
      </c>
    </row>
    <row r="462" spans="1:1" x14ac:dyDescent="0.3">
      <c r="A462">
        <v>8045764.2988999998</v>
      </c>
    </row>
    <row r="463" spans="1:1" x14ac:dyDescent="0.3">
      <c r="A463">
        <v>5892019.1311999997</v>
      </c>
    </row>
    <row r="464" spans="1:1" x14ac:dyDescent="0.3">
      <c r="A464">
        <v>-1202264.7871000001</v>
      </c>
    </row>
    <row r="465" spans="1:1" x14ac:dyDescent="0.3">
      <c r="A465">
        <v>-3332859.8637000001</v>
      </c>
    </row>
    <row r="466" spans="1:1" x14ac:dyDescent="0.3">
      <c r="A466">
        <v>4010958.5967999999</v>
      </c>
    </row>
    <row r="467" spans="1:1" x14ac:dyDescent="0.3">
      <c r="A467">
        <v>8913773.1182000004</v>
      </c>
    </row>
    <row r="468" spans="1:1" x14ac:dyDescent="0.3">
      <c r="A468">
        <v>1453160.6059999999</v>
      </c>
    </row>
    <row r="469" spans="1:1" x14ac:dyDescent="0.3">
      <c r="A469">
        <v>2043762.4410000001</v>
      </c>
    </row>
    <row r="470" spans="1:1" x14ac:dyDescent="0.3">
      <c r="A470">
        <v>2577665.6433999999</v>
      </c>
    </row>
    <row r="471" spans="1:1" x14ac:dyDescent="0.3">
      <c r="A471">
        <v>2877416.6006999998</v>
      </c>
    </row>
    <row r="472" spans="1:1" x14ac:dyDescent="0.3">
      <c r="A472">
        <v>-1300965.4446</v>
      </c>
    </row>
    <row r="473" spans="1:1" x14ac:dyDescent="0.3">
      <c r="A473">
        <v>6346791.6363000004</v>
      </c>
    </row>
    <row r="474" spans="1:1" x14ac:dyDescent="0.3">
      <c r="A474">
        <v>4603428.3768999996</v>
      </c>
    </row>
    <row r="475" spans="1:1" x14ac:dyDescent="0.3">
      <c r="A475">
        <v>-5043722.6327</v>
      </c>
    </row>
    <row r="476" spans="1:1" x14ac:dyDescent="0.3">
      <c r="A476">
        <v>-333134.33380000002</v>
      </c>
    </row>
    <row r="477" spans="1:1" x14ac:dyDescent="0.3">
      <c r="A477">
        <v>11367673.031199999</v>
      </c>
    </row>
    <row r="478" spans="1:1" x14ac:dyDescent="0.3">
      <c r="A478">
        <v>4656232.8552000001</v>
      </c>
    </row>
    <row r="479" spans="1:1" x14ac:dyDescent="0.3">
      <c r="A479">
        <v>-907312.01679999998</v>
      </c>
    </row>
    <row r="480" spans="1:1" x14ac:dyDescent="0.3">
      <c r="A480">
        <v>-4371553.0521</v>
      </c>
    </row>
    <row r="481" spans="1:1" x14ac:dyDescent="0.3">
      <c r="A481">
        <v>5312315.7174000004</v>
      </c>
    </row>
    <row r="482" spans="1:1" x14ac:dyDescent="0.3">
      <c r="A482">
        <v>5599887.7939999998</v>
      </c>
    </row>
    <row r="483" spans="1:1" x14ac:dyDescent="0.3">
      <c r="A483">
        <v>8072787.2745000003</v>
      </c>
    </row>
    <row r="484" spans="1:1" x14ac:dyDescent="0.3">
      <c r="A484">
        <v>178015.35519999999</v>
      </c>
    </row>
    <row r="485" spans="1:1" x14ac:dyDescent="0.3">
      <c r="A485">
        <v>11231411.043199999</v>
      </c>
    </row>
    <row r="486" spans="1:1" x14ac:dyDescent="0.3">
      <c r="A486">
        <v>8939324.0153000001</v>
      </c>
    </row>
    <row r="487" spans="1:1" x14ac:dyDescent="0.3">
      <c r="A487">
        <v>45940.479800000001</v>
      </c>
    </row>
    <row r="488" spans="1:1" x14ac:dyDescent="0.3">
      <c r="A488">
        <v>-3981945.4712</v>
      </c>
    </row>
    <row r="489" spans="1:1" x14ac:dyDescent="0.3">
      <c r="A489">
        <v>-1212429.7938999999</v>
      </c>
    </row>
    <row r="490" spans="1:1" x14ac:dyDescent="0.3">
      <c r="A490">
        <v>3887072.9161</v>
      </c>
    </row>
    <row r="491" spans="1:1" x14ac:dyDescent="0.3">
      <c r="A491">
        <v>7226232.3344000001</v>
      </c>
    </row>
    <row r="492" spans="1:1" x14ac:dyDescent="0.3">
      <c r="A492">
        <v>5056925.0284000002</v>
      </c>
    </row>
    <row r="493" spans="1:1" x14ac:dyDescent="0.3">
      <c r="A493">
        <v>-1015433.9815</v>
      </c>
    </row>
    <row r="494" spans="1:1" x14ac:dyDescent="0.3">
      <c r="A494">
        <v>2163885.5216999999</v>
      </c>
    </row>
    <row r="495" spans="1:1" x14ac:dyDescent="0.3">
      <c r="A495">
        <v>511095.59259999997</v>
      </c>
    </row>
    <row r="496" spans="1:1" x14ac:dyDescent="0.3">
      <c r="A496">
        <v>2777578.3533000001</v>
      </c>
    </row>
    <row r="497" spans="1:1" x14ac:dyDescent="0.3">
      <c r="A497">
        <v>9299652.1337000001</v>
      </c>
    </row>
    <row r="498" spans="1:1" x14ac:dyDescent="0.3">
      <c r="A498">
        <v>-1689439.6344000001</v>
      </c>
    </row>
    <row r="499" spans="1:1" x14ac:dyDescent="0.3">
      <c r="A499">
        <v>3443412.2078999998</v>
      </c>
    </row>
    <row r="500" spans="1:1" x14ac:dyDescent="0.3">
      <c r="A500">
        <v>2082036.0819000001</v>
      </c>
    </row>
    <row r="501" spans="1:1" x14ac:dyDescent="0.3">
      <c r="A501">
        <v>-4162302.9224999999</v>
      </c>
    </row>
    <row r="502" spans="1:1" x14ac:dyDescent="0.3">
      <c r="A502">
        <v>1912072.3865</v>
      </c>
    </row>
    <row r="503" spans="1:1" x14ac:dyDescent="0.3">
      <c r="A503">
        <v>6774872.6452000001</v>
      </c>
    </row>
    <row r="504" spans="1:1" x14ac:dyDescent="0.3">
      <c r="A504">
        <v>5531008.8010999998</v>
      </c>
    </row>
    <row r="505" spans="1:1" x14ac:dyDescent="0.3">
      <c r="A505">
        <v>9753098.4378999993</v>
      </c>
    </row>
    <row r="506" spans="1:1" x14ac:dyDescent="0.3">
      <c r="A506">
        <v>7361059.0464000003</v>
      </c>
    </row>
    <row r="507" spans="1:1" x14ac:dyDescent="0.3">
      <c r="A507">
        <v>609997.59889999998</v>
      </c>
    </row>
    <row r="508" spans="1:1" x14ac:dyDescent="0.3">
      <c r="A508">
        <v>3336384.4953000001</v>
      </c>
    </row>
    <row r="509" spans="1:1" x14ac:dyDescent="0.3">
      <c r="A509">
        <v>3164143.9265000001</v>
      </c>
    </row>
    <row r="510" spans="1:1" x14ac:dyDescent="0.3">
      <c r="A510">
        <v>8333223.1309000002</v>
      </c>
    </row>
    <row r="511" spans="1:1" x14ac:dyDescent="0.3">
      <c r="A511">
        <v>-1533375.4794000001</v>
      </c>
    </row>
    <row r="512" spans="1:1" x14ac:dyDescent="0.3">
      <c r="A512">
        <v>7801967.8288000003</v>
      </c>
    </row>
    <row r="513" spans="1:1" x14ac:dyDescent="0.3">
      <c r="A513">
        <v>1875334.7692</v>
      </c>
    </row>
    <row r="514" spans="1:1" x14ac:dyDescent="0.3">
      <c r="A514">
        <v>2646316.0756000001</v>
      </c>
    </row>
    <row r="515" spans="1:1" x14ac:dyDescent="0.3">
      <c r="A515">
        <v>-942323.00800000003</v>
      </c>
    </row>
    <row r="516" spans="1:1" x14ac:dyDescent="0.3">
      <c r="A516">
        <v>-4775078.3372999998</v>
      </c>
    </row>
    <row r="517" spans="1:1" x14ac:dyDescent="0.3">
      <c r="A517">
        <v>785631.11780000001</v>
      </c>
    </row>
    <row r="518" spans="1:1" x14ac:dyDescent="0.3">
      <c r="A518">
        <v>5403317.5729999999</v>
      </c>
    </row>
    <row r="519" spans="1:1" x14ac:dyDescent="0.3">
      <c r="A519">
        <v>11004603.694499999</v>
      </c>
    </row>
    <row r="520" spans="1:1" x14ac:dyDescent="0.3">
      <c r="A520">
        <v>7314338.4861000003</v>
      </c>
    </row>
    <row r="521" spans="1:1" x14ac:dyDescent="0.3">
      <c r="A521">
        <v>7634974.7494000001</v>
      </c>
    </row>
    <row r="522" spans="1:1" x14ac:dyDescent="0.3">
      <c r="A522">
        <v>9885258.8650000002</v>
      </c>
    </row>
    <row r="523" spans="1:1" x14ac:dyDescent="0.3">
      <c r="A523">
        <v>7663182.9793999996</v>
      </c>
    </row>
    <row r="524" spans="1:1" x14ac:dyDescent="0.3">
      <c r="A524">
        <v>7291352.4890000001</v>
      </c>
    </row>
    <row r="525" spans="1:1" x14ac:dyDescent="0.3">
      <c r="A525">
        <v>6214855.6934000002</v>
      </c>
    </row>
    <row r="526" spans="1:1" x14ac:dyDescent="0.3">
      <c r="A526">
        <v>4657572.5292999996</v>
      </c>
    </row>
    <row r="527" spans="1:1" x14ac:dyDescent="0.3">
      <c r="A527">
        <v>10541580.6581</v>
      </c>
    </row>
    <row r="528" spans="1:1" x14ac:dyDescent="0.3">
      <c r="A528">
        <v>3247973.9301</v>
      </c>
    </row>
    <row r="529" spans="1:1" x14ac:dyDescent="0.3">
      <c r="A529">
        <v>526322.81330000004</v>
      </c>
    </row>
    <row r="530" spans="1:1" x14ac:dyDescent="0.3">
      <c r="A530">
        <v>-3208560.2711</v>
      </c>
    </row>
    <row r="531" spans="1:1" x14ac:dyDescent="0.3">
      <c r="A531">
        <v>10282421.1536</v>
      </c>
    </row>
    <row r="532" spans="1:1" x14ac:dyDescent="0.3">
      <c r="A532">
        <v>-2191710.2691000002</v>
      </c>
    </row>
    <row r="533" spans="1:1" x14ac:dyDescent="0.3">
      <c r="A533">
        <v>5779660.5206000004</v>
      </c>
    </row>
    <row r="534" spans="1:1" x14ac:dyDescent="0.3">
      <c r="A534">
        <v>-95194.118100000007</v>
      </c>
    </row>
    <row r="535" spans="1:1" x14ac:dyDescent="0.3">
      <c r="A535">
        <v>7422205.6882999996</v>
      </c>
    </row>
    <row r="536" spans="1:1" x14ac:dyDescent="0.3">
      <c r="A536">
        <v>10729088.8082</v>
      </c>
    </row>
    <row r="537" spans="1:1" x14ac:dyDescent="0.3">
      <c r="A537">
        <v>3262452.6408000002</v>
      </c>
    </row>
    <row r="538" spans="1:1" x14ac:dyDescent="0.3">
      <c r="A538">
        <v>4062858.4594000001</v>
      </c>
    </row>
    <row r="539" spans="1:1" x14ac:dyDescent="0.3">
      <c r="A539">
        <v>4107860.7974</v>
      </c>
    </row>
    <row r="540" spans="1:1" x14ac:dyDescent="0.3">
      <c r="A540">
        <v>13323366.6439</v>
      </c>
    </row>
    <row r="541" spans="1:1" x14ac:dyDescent="0.3">
      <c r="A541">
        <v>11568808.7884</v>
      </c>
    </row>
    <row r="542" spans="1:1" x14ac:dyDescent="0.3">
      <c r="A542">
        <v>-1116666.3478000001</v>
      </c>
    </row>
    <row r="543" spans="1:1" x14ac:dyDescent="0.3">
      <c r="A543">
        <v>555741.34680000006</v>
      </c>
    </row>
    <row r="544" spans="1:1" x14ac:dyDescent="0.3">
      <c r="A544">
        <v>1152675.3015000001</v>
      </c>
    </row>
    <row r="545" spans="1:1" x14ac:dyDescent="0.3">
      <c r="A545">
        <v>2066259.014</v>
      </c>
    </row>
    <row r="546" spans="1:1" x14ac:dyDescent="0.3">
      <c r="A546">
        <v>460288.4326</v>
      </c>
    </row>
    <row r="547" spans="1:1" x14ac:dyDescent="0.3">
      <c r="A547">
        <v>3678124.9273000001</v>
      </c>
    </row>
    <row r="548" spans="1:1" x14ac:dyDescent="0.3">
      <c r="A548">
        <v>-3630496.0266</v>
      </c>
    </row>
    <row r="549" spans="1:1" x14ac:dyDescent="0.3">
      <c r="A549">
        <v>-28389.533100000001</v>
      </c>
    </row>
    <row r="550" spans="1:1" x14ac:dyDescent="0.3">
      <c r="A550">
        <v>-4643160.6798</v>
      </c>
    </row>
    <row r="551" spans="1:1" x14ac:dyDescent="0.3">
      <c r="A551">
        <v>2025373.0830999999</v>
      </c>
    </row>
    <row r="552" spans="1:1" x14ac:dyDescent="0.3">
      <c r="A552">
        <v>-1406111.1169</v>
      </c>
    </row>
    <row r="553" spans="1:1" x14ac:dyDescent="0.3">
      <c r="A553">
        <v>-4231911.9375999998</v>
      </c>
    </row>
    <row r="554" spans="1:1" x14ac:dyDescent="0.3">
      <c r="A554">
        <v>-1858102.3722000001</v>
      </c>
    </row>
    <row r="555" spans="1:1" x14ac:dyDescent="0.3">
      <c r="A555">
        <v>2880788.3703999999</v>
      </c>
    </row>
    <row r="556" spans="1:1" x14ac:dyDescent="0.3">
      <c r="A556">
        <v>7314460.1988000004</v>
      </c>
    </row>
    <row r="557" spans="1:1" x14ac:dyDescent="0.3">
      <c r="A557">
        <v>1737567.1410999999</v>
      </c>
    </row>
    <row r="558" spans="1:1" x14ac:dyDescent="0.3">
      <c r="A558">
        <v>4624023.2286999999</v>
      </c>
    </row>
    <row r="559" spans="1:1" x14ac:dyDescent="0.3">
      <c r="A559">
        <v>8159982.5376000004</v>
      </c>
    </row>
    <row r="560" spans="1:1" x14ac:dyDescent="0.3">
      <c r="A560">
        <v>4725633.2242999999</v>
      </c>
    </row>
    <row r="561" spans="1:1" x14ac:dyDescent="0.3">
      <c r="A561">
        <v>2400719.6710000001</v>
      </c>
    </row>
    <row r="562" spans="1:1" x14ac:dyDescent="0.3">
      <c r="A562">
        <v>11567359.4528</v>
      </c>
    </row>
    <row r="563" spans="1:1" x14ac:dyDescent="0.3">
      <c r="A563">
        <v>8865386.4866000004</v>
      </c>
    </row>
    <row r="564" spans="1:1" x14ac:dyDescent="0.3">
      <c r="A564">
        <v>-2294001.5572000002</v>
      </c>
    </row>
    <row r="565" spans="1:1" x14ac:dyDescent="0.3">
      <c r="A565">
        <v>1334431.9929</v>
      </c>
    </row>
    <row r="566" spans="1:1" x14ac:dyDescent="0.3">
      <c r="A566">
        <v>-1229753.3684</v>
      </c>
    </row>
    <row r="567" spans="1:1" x14ac:dyDescent="0.3">
      <c r="A567">
        <v>5377936.2358999997</v>
      </c>
    </row>
    <row r="568" spans="1:1" x14ac:dyDescent="0.3">
      <c r="A568">
        <v>8436008.9255999997</v>
      </c>
    </row>
    <row r="569" spans="1:1" x14ac:dyDescent="0.3">
      <c r="A569">
        <v>509128.397</v>
      </c>
    </row>
    <row r="570" spans="1:1" x14ac:dyDescent="0.3">
      <c r="A570">
        <v>9927846.4818999991</v>
      </c>
    </row>
    <row r="571" spans="1:1" x14ac:dyDescent="0.3">
      <c r="A571">
        <v>4833907.8958999999</v>
      </c>
    </row>
    <row r="572" spans="1:1" x14ac:dyDescent="0.3">
      <c r="A572">
        <v>-2011273.5478999999</v>
      </c>
    </row>
    <row r="573" spans="1:1" x14ac:dyDescent="0.3">
      <c r="A573">
        <v>2029455.8097000001</v>
      </c>
    </row>
    <row r="574" spans="1:1" x14ac:dyDescent="0.3">
      <c r="A574">
        <v>18924675.541200001</v>
      </c>
    </row>
    <row r="575" spans="1:1" x14ac:dyDescent="0.3">
      <c r="A575">
        <v>2450018.9833</v>
      </c>
    </row>
    <row r="576" spans="1:1" x14ac:dyDescent="0.3">
      <c r="A576">
        <v>1470345.8842</v>
      </c>
    </row>
    <row r="577" spans="1:1" x14ac:dyDescent="0.3">
      <c r="A577">
        <v>5940246.3909</v>
      </c>
    </row>
    <row r="578" spans="1:1" x14ac:dyDescent="0.3">
      <c r="A578">
        <v>10805710.5496</v>
      </c>
    </row>
    <row r="579" spans="1:1" x14ac:dyDescent="0.3">
      <c r="A579">
        <v>269079.815</v>
      </c>
    </row>
    <row r="580" spans="1:1" x14ac:dyDescent="0.3">
      <c r="A580">
        <v>7651370.1162999999</v>
      </c>
    </row>
    <row r="581" spans="1:1" x14ac:dyDescent="0.3">
      <c r="A581">
        <v>81352.388800000001</v>
      </c>
    </row>
    <row r="582" spans="1:1" x14ac:dyDescent="0.3">
      <c r="A582">
        <v>3752003.7807</v>
      </c>
    </row>
    <row r="583" spans="1:1" x14ac:dyDescent="0.3">
      <c r="A583">
        <v>9537828.2085999995</v>
      </c>
    </row>
    <row r="584" spans="1:1" x14ac:dyDescent="0.3">
      <c r="A584">
        <v>-782209.18859999999</v>
      </c>
    </row>
    <row r="585" spans="1:1" x14ac:dyDescent="0.3">
      <c r="A585">
        <v>8846894.6515999995</v>
      </c>
    </row>
    <row r="586" spans="1:1" x14ac:dyDescent="0.3">
      <c r="A586">
        <v>3488231.5548999999</v>
      </c>
    </row>
    <row r="587" spans="1:1" x14ac:dyDescent="0.3">
      <c r="A587">
        <v>8145186.2912999997</v>
      </c>
    </row>
    <row r="588" spans="1:1" x14ac:dyDescent="0.3">
      <c r="A588">
        <v>1815231.5887</v>
      </c>
    </row>
    <row r="589" spans="1:1" x14ac:dyDescent="0.3">
      <c r="A589">
        <v>-1963052.6847999999</v>
      </c>
    </row>
    <row r="590" spans="1:1" x14ac:dyDescent="0.3">
      <c r="A590">
        <v>7889979.1937999995</v>
      </c>
    </row>
    <row r="591" spans="1:1" x14ac:dyDescent="0.3">
      <c r="A591">
        <v>-2761907.3678000001</v>
      </c>
    </row>
    <row r="592" spans="1:1" x14ac:dyDescent="0.3">
      <c r="A592">
        <v>10324462.8401</v>
      </c>
    </row>
    <row r="593" spans="1:1" x14ac:dyDescent="0.3">
      <c r="A593">
        <v>6494466.3710000003</v>
      </c>
    </row>
    <row r="594" spans="1:1" x14ac:dyDescent="0.3">
      <c r="A594">
        <v>3234343.6466999999</v>
      </c>
    </row>
    <row r="595" spans="1:1" x14ac:dyDescent="0.3">
      <c r="A595">
        <v>3148302.7812999999</v>
      </c>
    </row>
    <row r="596" spans="1:1" x14ac:dyDescent="0.3">
      <c r="A596">
        <v>7012984.7418</v>
      </c>
    </row>
    <row r="597" spans="1:1" x14ac:dyDescent="0.3">
      <c r="A597">
        <v>676372.54370000004</v>
      </c>
    </row>
    <row r="598" spans="1:1" x14ac:dyDescent="0.3">
      <c r="A598">
        <v>10193619.277000001</v>
      </c>
    </row>
    <row r="599" spans="1:1" x14ac:dyDescent="0.3">
      <c r="A599">
        <v>9409890.9245999996</v>
      </c>
    </row>
    <row r="600" spans="1:1" x14ac:dyDescent="0.3">
      <c r="A600">
        <v>5494795.1853999998</v>
      </c>
    </row>
    <row r="601" spans="1:1" x14ac:dyDescent="0.3">
      <c r="A601">
        <v>10291420.3177</v>
      </c>
    </row>
    <row r="602" spans="1:1" x14ac:dyDescent="0.3">
      <c r="A602">
        <v>570162.96510000003</v>
      </c>
    </row>
    <row r="603" spans="1:1" x14ac:dyDescent="0.3">
      <c r="A603">
        <v>-3422874.7840999998</v>
      </c>
    </row>
    <row r="604" spans="1:1" x14ac:dyDescent="0.3">
      <c r="A604">
        <v>10497229.0593</v>
      </c>
    </row>
    <row r="605" spans="1:1" x14ac:dyDescent="0.3">
      <c r="A605">
        <v>2695.6219999999998</v>
      </c>
    </row>
    <row r="606" spans="1:1" x14ac:dyDescent="0.3">
      <c r="A606">
        <v>-2362893.2280000001</v>
      </c>
    </row>
    <row r="607" spans="1:1" x14ac:dyDescent="0.3">
      <c r="A607">
        <v>9803104.3532999996</v>
      </c>
    </row>
    <row r="608" spans="1:1" x14ac:dyDescent="0.3">
      <c r="A608">
        <v>945343.49190000002</v>
      </c>
    </row>
    <row r="609" spans="1:1" x14ac:dyDescent="0.3">
      <c r="A609">
        <v>1694892.4088999999</v>
      </c>
    </row>
    <row r="610" spans="1:1" x14ac:dyDescent="0.3">
      <c r="A610">
        <v>5133635.6310999999</v>
      </c>
    </row>
    <row r="611" spans="1:1" x14ac:dyDescent="0.3">
      <c r="A611">
        <v>2303405.1307999999</v>
      </c>
    </row>
    <row r="612" spans="1:1" x14ac:dyDescent="0.3">
      <c r="A612">
        <v>10577301.0395</v>
      </c>
    </row>
    <row r="613" spans="1:1" x14ac:dyDescent="0.3">
      <c r="A613">
        <v>4488314.2605999997</v>
      </c>
    </row>
    <row r="614" spans="1:1" x14ac:dyDescent="0.3">
      <c r="A614">
        <v>-2708668.5975000001</v>
      </c>
    </row>
    <row r="615" spans="1:1" x14ac:dyDescent="0.3">
      <c r="A615">
        <v>-2350177.4046999998</v>
      </c>
    </row>
    <row r="616" spans="1:1" x14ac:dyDescent="0.3">
      <c r="A616">
        <v>2288577.0194000001</v>
      </c>
    </row>
    <row r="617" spans="1:1" x14ac:dyDescent="0.3">
      <c r="A617">
        <v>-3681450.7903</v>
      </c>
    </row>
    <row r="618" spans="1:1" x14ac:dyDescent="0.3">
      <c r="A618">
        <v>6995304.3716000002</v>
      </c>
    </row>
    <row r="619" spans="1:1" x14ac:dyDescent="0.3">
      <c r="A619">
        <v>4482315.1469999999</v>
      </c>
    </row>
    <row r="620" spans="1:1" x14ac:dyDescent="0.3">
      <c r="A620">
        <v>2405460.8596000001</v>
      </c>
    </row>
    <row r="621" spans="1:1" x14ac:dyDescent="0.3">
      <c r="A621">
        <v>8996103.6140999999</v>
      </c>
    </row>
    <row r="622" spans="1:1" x14ac:dyDescent="0.3">
      <c r="A622">
        <v>13713617.1632</v>
      </c>
    </row>
    <row r="623" spans="1:1" x14ac:dyDescent="0.3">
      <c r="A623">
        <v>3977133.3064999999</v>
      </c>
    </row>
    <row r="624" spans="1:1" x14ac:dyDescent="0.3">
      <c r="A624">
        <v>-383943.98879999999</v>
      </c>
    </row>
    <row r="625" spans="1:1" x14ac:dyDescent="0.3">
      <c r="A625">
        <v>5501712.9318000004</v>
      </c>
    </row>
    <row r="626" spans="1:1" x14ac:dyDescent="0.3">
      <c r="A626">
        <v>3395335.3785000001</v>
      </c>
    </row>
    <row r="627" spans="1:1" x14ac:dyDescent="0.3">
      <c r="A627">
        <v>7170795.6871999996</v>
      </c>
    </row>
    <row r="628" spans="1:1" x14ac:dyDescent="0.3">
      <c r="A628">
        <v>2746284.7433000002</v>
      </c>
    </row>
    <row r="629" spans="1:1" x14ac:dyDescent="0.3">
      <c r="A629">
        <v>8597685.9656000007</v>
      </c>
    </row>
    <row r="630" spans="1:1" x14ac:dyDescent="0.3">
      <c r="A630">
        <v>11016858.3575</v>
      </c>
    </row>
    <row r="631" spans="1:1" x14ac:dyDescent="0.3">
      <c r="A631">
        <v>2057383.4001</v>
      </c>
    </row>
    <row r="632" spans="1:1" x14ac:dyDescent="0.3">
      <c r="A632">
        <v>-2614640.0894999998</v>
      </c>
    </row>
    <row r="633" spans="1:1" x14ac:dyDescent="0.3">
      <c r="A633">
        <v>-3942426.1949999998</v>
      </c>
    </row>
    <row r="634" spans="1:1" x14ac:dyDescent="0.3">
      <c r="A634">
        <v>8600294.8450000007</v>
      </c>
    </row>
    <row r="635" spans="1:1" x14ac:dyDescent="0.3">
      <c r="A635">
        <v>11024534.339199999</v>
      </c>
    </row>
    <row r="636" spans="1:1" x14ac:dyDescent="0.3">
      <c r="A636">
        <v>13417748.520099999</v>
      </c>
    </row>
    <row r="637" spans="1:1" x14ac:dyDescent="0.3">
      <c r="A637">
        <v>-1159299.9998999999</v>
      </c>
    </row>
    <row r="638" spans="1:1" x14ac:dyDescent="0.3">
      <c r="A638">
        <v>-2902728.7330999998</v>
      </c>
    </row>
    <row r="639" spans="1:1" x14ac:dyDescent="0.3">
      <c r="A639">
        <v>11974314.2952</v>
      </c>
    </row>
    <row r="640" spans="1:1" x14ac:dyDescent="0.3">
      <c r="A640">
        <v>5979610.1509999996</v>
      </c>
    </row>
    <row r="641" spans="1:1" x14ac:dyDescent="0.3">
      <c r="A641">
        <v>-1304386.7711</v>
      </c>
    </row>
    <row r="642" spans="1:1" x14ac:dyDescent="0.3">
      <c r="A642">
        <v>13417553.989499999</v>
      </c>
    </row>
    <row r="643" spans="1:1" x14ac:dyDescent="0.3">
      <c r="A643">
        <v>-5145045.0592</v>
      </c>
    </row>
    <row r="644" spans="1:1" x14ac:dyDescent="0.3">
      <c r="A644">
        <v>3103548.8125</v>
      </c>
    </row>
    <row r="645" spans="1:1" x14ac:dyDescent="0.3">
      <c r="A645">
        <v>1103391.2291999999</v>
      </c>
    </row>
    <row r="646" spans="1:1" x14ac:dyDescent="0.3">
      <c r="A646">
        <v>8761215.3301999997</v>
      </c>
    </row>
    <row r="647" spans="1:1" x14ac:dyDescent="0.3">
      <c r="A647">
        <v>13497122.7751</v>
      </c>
    </row>
    <row r="648" spans="1:1" x14ac:dyDescent="0.3">
      <c r="A648">
        <v>-218118.5877</v>
      </c>
    </row>
    <row r="649" spans="1:1" x14ac:dyDescent="0.3">
      <c r="A649">
        <v>-1446568.9701</v>
      </c>
    </row>
    <row r="650" spans="1:1" x14ac:dyDescent="0.3">
      <c r="A650">
        <v>-3490558.9219</v>
      </c>
    </row>
    <row r="651" spans="1:1" x14ac:dyDescent="0.3">
      <c r="A651">
        <v>-2548235.5502999998</v>
      </c>
    </row>
    <row r="652" spans="1:1" x14ac:dyDescent="0.3">
      <c r="A652">
        <v>6859688.8228000002</v>
      </c>
    </row>
    <row r="653" spans="1:1" x14ac:dyDescent="0.3">
      <c r="A653">
        <v>1378826.2604</v>
      </c>
    </row>
    <row r="654" spans="1:1" x14ac:dyDescent="0.3">
      <c r="A654">
        <v>2433130.4043000001</v>
      </c>
    </row>
    <row r="655" spans="1:1" x14ac:dyDescent="0.3">
      <c r="A655">
        <v>7106878.1661</v>
      </c>
    </row>
    <row r="656" spans="1:1" x14ac:dyDescent="0.3">
      <c r="A656">
        <v>2708463.4240000001</v>
      </c>
    </row>
    <row r="657" spans="1:1" x14ac:dyDescent="0.3">
      <c r="A657">
        <v>14224053.3171</v>
      </c>
    </row>
    <row r="658" spans="1:1" x14ac:dyDescent="0.3">
      <c r="A658">
        <v>7358695.9433000004</v>
      </c>
    </row>
    <row r="659" spans="1:1" x14ac:dyDescent="0.3">
      <c r="A659">
        <v>5606208.8647999996</v>
      </c>
    </row>
    <row r="660" spans="1:1" x14ac:dyDescent="0.3">
      <c r="A660">
        <v>16567556.598200001</v>
      </c>
    </row>
    <row r="661" spans="1:1" x14ac:dyDescent="0.3">
      <c r="A661">
        <v>-1386434.5127999999</v>
      </c>
    </row>
    <row r="662" spans="1:1" x14ac:dyDescent="0.3">
      <c r="A662">
        <v>14129103.000499999</v>
      </c>
    </row>
    <row r="663" spans="1:1" x14ac:dyDescent="0.3">
      <c r="A663">
        <v>1846518.3330000001</v>
      </c>
    </row>
    <row r="664" spans="1:1" x14ac:dyDescent="0.3">
      <c r="A664">
        <v>-5388986.6935000001</v>
      </c>
    </row>
    <row r="665" spans="1:1" x14ac:dyDescent="0.3">
      <c r="A665">
        <v>4666444.4011000004</v>
      </c>
    </row>
    <row r="666" spans="1:1" x14ac:dyDescent="0.3">
      <c r="A666">
        <v>-2014262.8589000001</v>
      </c>
    </row>
    <row r="667" spans="1:1" x14ac:dyDescent="0.3">
      <c r="A667">
        <v>3986376.3508000001</v>
      </c>
    </row>
    <row r="668" spans="1:1" x14ac:dyDescent="0.3">
      <c r="A668">
        <v>10595915.978800001</v>
      </c>
    </row>
    <row r="669" spans="1:1" x14ac:dyDescent="0.3">
      <c r="A669">
        <v>14228591.6317</v>
      </c>
    </row>
    <row r="670" spans="1:1" x14ac:dyDescent="0.3">
      <c r="A670">
        <v>288592.80009999999</v>
      </c>
    </row>
    <row r="671" spans="1:1" x14ac:dyDescent="0.3">
      <c r="A671">
        <v>7722436.0634000003</v>
      </c>
    </row>
    <row r="672" spans="1:1" x14ac:dyDescent="0.3">
      <c r="A672">
        <v>3156558.7546999999</v>
      </c>
    </row>
    <row r="673" spans="1:1" x14ac:dyDescent="0.3">
      <c r="A673">
        <v>108009.53419999999</v>
      </c>
    </row>
    <row r="674" spans="1:1" x14ac:dyDescent="0.3">
      <c r="A674">
        <v>5680907.4320999999</v>
      </c>
    </row>
    <row r="675" spans="1:1" x14ac:dyDescent="0.3">
      <c r="A675">
        <v>8721399.3657000009</v>
      </c>
    </row>
    <row r="676" spans="1:1" x14ac:dyDescent="0.3">
      <c r="A676">
        <v>5693685.2196000004</v>
      </c>
    </row>
    <row r="677" spans="1:1" x14ac:dyDescent="0.3">
      <c r="A677">
        <v>-2779691.0669999998</v>
      </c>
    </row>
    <row r="678" spans="1:1" x14ac:dyDescent="0.3">
      <c r="A678">
        <v>-970808.00719999999</v>
      </c>
    </row>
    <row r="679" spans="1:1" x14ac:dyDescent="0.3">
      <c r="A679">
        <v>-3149338.1690000002</v>
      </c>
    </row>
    <row r="680" spans="1:1" x14ac:dyDescent="0.3">
      <c r="A680">
        <v>-1254434.2855</v>
      </c>
    </row>
    <row r="681" spans="1:1" x14ac:dyDescent="0.3">
      <c r="A681">
        <v>783810.37239999999</v>
      </c>
    </row>
    <row r="682" spans="1:1" x14ac:dyDescent="0.3">
      <c r="A682">
        <v>12577961.722100001</v>
      </c>
    </row>
    <row r="683" spans="1:1" x14ac:dyDescent="0.3">
      <c r="A683">
        <v>6557244.2355000004</v>
      </c>
    </row>
    <row r="684" spans="1:1" x14ac:dyDescent="0.3">
      <c r="A684">
        <v>9666937.5801999997</v>
      </c>
    </row>
    <row r="685" spans="1:1" x14ac:dyDescent="0.3">
      <c r="A685">
        <v>5426996.0756000001</v>
      </c>
    </row>
    <row r="686" spans="1:1" x14ac:dyDescent="0.3">
      <c r="A686">
        <v>8127952.7775999997</v>
      </c>
    </row>
    <row r="687" spans="1:1" x14ac:dyDescent="0.3">
      <c r="A687">
        <v>-1547298.7616999999</v>
      </c>
    </row>
    <row r="688" spans="1:1" x14ac:dyDescent="0.3">
      <c r="A688">
        <v>2526515.5655</v>
      </c>
    </row>
    <row r="689" spans="1:1" x14ac:dyDescent="0.3">
      <c r="A689">
        <v>-905291.16740000003</v>
      </c>
    </row>
    <row r="690" spans="1:1" x14ac:dyDescent="0.3">
      <c r="A690">
        <v>7374350.3717</v>
      </c>
    </row>
    <row r="691" spans="1:1" x14ac:dyDescent="0.3">
      <c r="A691">
        <v>4991227.3497000001</v>
      </c>
    </row>
    <row r="692" spans="1:1" x14ac:dyDescent="0.3">
      <c r="A692">
        <v>2535331.9468</v>
      </c>
    </row>
    <row r="693" spans="1:1" x14ac:dyDescent="0.3">
      <c r="A693">
        <v>12151857.2401</v>
      </c>
    </row>
    <row r="694" spans="1:1" x14ac:dyDescent="0.3">
      <c r="A694">
        <v>-1624054.5856999999</v>
      </c>
    </row>
    <row r="695" spans="1:1" x14ac:dyDescent="0.3">
      <c r="A695">
        <v>2955562.1880999999</v>
      </c>
    </row>
    <row r="696" spans="1:1" x14ac:dyDescent="0.3">
      <c r="A696">
        <v>-527039.43339999998</v>
      </c>
    </row>
    <row r="697" spans="1:1" x14ac:dyDescent="0.3">
      <c r="A697">
        <v>1003591.4626</v>
      </c>
    </row>
    <row r="698" spans="1:1" x14ac:dyDescent="0.3">
      <c r="A698">
        <v>1078027.4669000001</v>
      </c>
    </row>
    <row r="699" spans="1:1" x14ac:dyDescent="0.3">
      <c r="A699">
        <v>11654355.241</v>
      </c>
    </row>
    <row r="700" spans="1:1" x14ac:dyDescent="0.3">
      <c r="A700">
        <v>-1748470.2363</v>
      </c>
    </row>
    <row r="701" spans="1:1" x14ac:dyDescent="0.3">
      <c r="A701">
        <v>9974543.0382000003</v>
      </c>
    </row>
    <row r="702" spans="1:1" x14ac:dyDescent="0.3">
      <c r="A702">
        <v>2870195.5865000002</v>
      </c>
    </row>
    <row r="703" spans="1:1" x14ac:dyDescent="0.3">
      <c r="A703">
        <v>6956015.9217999997</v>
      </c>
    </row>
    <row r="704" spans="1:1" x14ac:dyDescent="0.3">
      <c r="A704">
        <v>3122117.8952000001</v>
      </c>
    </row>
    <row r="705" spans="1:1" x14ac:dyDescent="0.3">
      <c r="A705">
        <v>2934086.1674000002</v>
      </c>
    </row>
    <row r="706" spans="1:1" x14ac:dyDescent="0.3">
      <c r="A706">
        <v>768327.55660000001</v>
      </c>
    </row>
    <row r="707" spans="1:1" x14ac:dyDescent="0.3">
      <c r="A707">
        <v>5252856.2269000001</v>
      </c>
    </row>
    <row r="708" spans="1:1" x14ac:dyDescent="0.3">
      <c r="A708">
        <v>11539013.9297</v>
      </c>
    </row>
    <row r="709" spans="1:1" x14ac:dyDescent="0.3">
      <c r="A709">
        <v>-68092.447499999995</v>
      </c>
    </row>
    <row r="710" spans="1:1" x14ac:dyDescent="0.3">
      <c r="A710">
        <v>1803972.8651999999</v>
      </c>
    </row>
    <row r="711" spans="1:1" x14ac:dyDescent="0.3">
      <c r="A711">
        <v>5034171.7111</v>
      </c>
    </row>
    <row r="712" spans="1:1" x14ac:dyDescent="0.3">
      <c r="A712">
        <v>1010471.6381</v>
      </c>
    </row>
    <row r="713" spans="1:1" x14ac:dyDescent="0.3">
      <c r="A713">
        <v>1959719.2841</v>
      </c>
    </row>
    <row r="714" spans="1:1" x14ac:dyDescent="0.3">
      <c r="A714">
        <v>3377233.5142999999</v>
      </c>
    </row>
    <row r="715" spans="1:1" x14ac:dyDescent="0.3">
      <c r="A715">
        <v>6333170.3514999999</v>
      </c>
    </row>
    <row r="716" spans="1:1" x14ac:dyDescent="0.3">
      <c r="A716">
        <v>2330178.3802</v>
      </c>
    </row>
    <row r="717" spans="1:1" x14ac:dyDescent="0.3">
      <c r="A717">
        <v>1027733.6112</v>
      </c>
    </row>
    <row r="718" spans="1:1" x14ac:dyDescent="0.3">
      <c r="A718">
        <v>6515851.7204999998</v>
      </c>
    </row>
    <row r="719" spans="1:1" x14ac:dyDescent="0.3">
      <c r="A719">
        <v>358159.67599999998</v>
      </c>
    </row>
    <row r="720" spans="1:1" x14ac:dyDescent="0.3">
      <c r="A720">
        <v>-790279.43359999999</v>
      </c>
    </row>
    <row r="721" spans="1:1" x14ac:dyDescent="0.3">
      <c r="A721">
        <v>-1062408.5497999999</v>
      </c>
    </row>
    <row r="722" spans="1:1" x14ac:dyDescent="0.3">
      <c r="A722">
        <v>-4063809.7883000001</v>
      </c>
    </row>
    <row r="723" spans="1:1" x14ac:dyDescent="0.3">
      <c r="A723">
        <v>5937716.7422000002</v>
      </c>
    </row>
    <row r="724" spans="1:1" x14ac:dyDescent="0.3">
      <c r="A724">
        <v>13731872.5331</v>
      </c>
    </row>
    <row r="725" spans="1:1" x14ac:dyDescent="0.3">
      <c r="A725">
        <v>3483747.9027999998</v>
      </c>
    </row>
    <row r="726" spans="1:1" x14ac:dyDescent="0.3">
      <c r="A726">
        <v>-4060869.1735</v>
      </c>
    </row>
    <row r="727" spans="1:1" x14ac:dyDescent="0.3">
      <c r="A727">
        <v>-3361275.6841000002</v>
      </c>
    </row>
    <row r="728" spans="1:1" x14ac:dyDescent="0.3">
      <c r="A728">
        <v>92856.405899999998</v>
      </c>
    </row>
    <row r="729" spans="1:1" x14ac:dyDescent="0.3">
      <c r="A729">
        <v>-1547980.5245999999</v>
      </c>
    </row>
    <row r="730" spans="1:1" x14ac:dyDescent="0.3">
      <c r="A730">
        <v>1156896.0830000001</v>
      </c>
    </row>
    <row r="731" spans="1:1" x14ac:dyDescent="0.3">
      <c r="A731">
        <v>802252.17649999994</v>
      </c>
    </row>
    <row r="732" spans="1:1" x14ac:dyDescent="0.3">
      <c r="A732">
        <v>-1688042.0293000001</v>
      </c>
    </row>
    <row r="733" spans="1:1" x14ac:dyDescent="0.3">
      <c r="A733">
        <v>16848950.184300002</v>
      </c>
    </row>
    <row r="734" spans="1:1" x14ac:dyDescent="0.3">
      <c r="A734">
        <v>298763.75750000001</v>
      </c>
    </row>
    <row r="735" spans="1:1" x14ac:dyDescent="0.3">
      <c r="A735">
        <v>5302081.7402999997</v>
      </c>
    </row>
    <row r="736" spans="1:1" x14ac:dyDescent="0.3">
      <c r="A736">
        <v>6440140.5431000004</v>
      </c>
    </row>
    <row r="737" spans="1:1" x14ac:dyDescent="0.3">
      <c r="A737">
        <v>2611060.2407</v>
      </c>
    </row>
    <row r="738" spans="1:1" x14ac:dyDescent="0.3">
      <c r="A738">
        <v>-4589883.2970000003</v>
      </c>
    </row>
    <row r="739" spans="1:1" x14ac:dyDescent="0.3">
      <c r="A739">
        <v>10484979.809800001</v>
      </c>
    </row>
    <row r="740" spans="1:1" x14ac:dyDescent="0.3">
      <c r="A740">
        <v>264590.32510000002</v>
      </c>
    </row>
    <row r="741" spans="1:1" x14ac:dyDescent="0.3">
      <c r="A741">
        <v>-1716943.2568000001</v>
      </c>
    </row>
    <row r="742" spans="1:1" x14ac:dyDescent="0.3">
      <c r="A742">
        <v>6771741.4358999999</v>
      </c>
    </row>
    <row r="743" spans="1:1" x14ac:dyDescent="0.3">
      <c r="A743">
        <v>17421022.254900001</v>
      </c>
    </row>
    <row r="744" spans="1:1" x14ac:dyDescent="0.3">
      <c r="A744">
        <v>766998.16689999995</v>
      </c>
    </row>
    <row r="745" spans="1:1" x14ac:dyDescent="0.3">
      <c r="A745">
        <v>11157826.0021</v>
      </c>
    </row>
    <row r="746" spans="1:1" x14ac:dyDescent="0.3">
      <c r="A746">
        <v>6806138.0548999999</v>
      </c>
    </row>
    <row r="747" spans="1:1" x14ac:dyDescent="0.3">
      <c r="A747">
        <v>-4666267.2506999997</v>
      </c>
    </row>
    <row r="748" spans="1:1" x14ac:dyDescent="0.3">
      <c r="A748">
        <v>7104079.9364999998</v>
      </c>
    </row>
    <row r="749" spans="1:1" x14ac:dyDescent="0.3">
      <c r="A749">
        <v>6322131.3335999995</v>
      </c>
    </row>
    <row r="750" spans="1:1" x14ac:dyDescent="0.3">
      <c r="A750">
        <v>13517402.702400001</v>
      </c>
    </row>
    <row r="751" spans="1:1" x14ac:dyDescent="0.3">
      <c r="A751">
        <v>14066519.694599999</v>
      </c>
    </row>
    <row r="752" spans="1:1" x14ac:dyDescent="0.3">
      <c r="A752">
        <v>8630521.2300000004</v>
      </c>
    </row>
    <row r="753" spans="1:1" x14ac:dyDescent="0.3">
      <c r="A753">
        <v>-4276571.2604</v>
      </c>
    </row>
    <row r="754" spans="1:1" x14ac:dyDescent="0.3">
      <c r="A754">
        <v>-6013067.5421000002</v>
      </c>
    </row>
    <row r="755" spans="1:1" x14ac:dyDescent="0.3">
      <c r="A755">
        <v>7741281.6184</v>
      </c>
    </row>
    <row r="756" spans="1:1" x14ac:dyDescent="0.3">
      <c r="A756">
        <v>-3954001.1409</v>
      </c>
    </row>
    <row r="757" spans="1:1" x14ac:dyDescent="0.3">
      <c r="A757">
        <v>5400854.2008999996</v>
      </c>
    </row>
    <row r="758" spans="1:1" x14ac:dyDescent="0.3">
      <c r="A758">
        <v>-2947476.1231999998</v>
      </c>
    </row>
    <row r="759" spans="1:1" x14ac:dyDescent="0.3">
      <c r="A759">
        <v>10973298.311899999</v>
      </c>
    </row>
    <row r="760" spans="1:1" x14ac:dyDescent="0.3">
      <c r="A760">
        <v>3336306.1173</v>
      </c>
    </row>
    <row r="761" spans="1:1" x14ac:dyDescent="0.3">
      <c r="A761">
        <v>1385192.936</v>
      </c>
    </row>
    <row r="762" spans="1:1" x14ac:dyDescent="0.3">
      <c r="A762">
        <v>89740.4231</v>
      </c>
    </row>
    <row r="763" spans="1:1" x14ac:dyDescent="0.3">
      <c r="A763">
        <v>6800961.0378999999</v>
      </c>
    </row>
    <row r="764" spans="1:1" x14ac:dyDescent="0.3">
      <c r="A764">
        <v>7172120.4842999997</v>
      </c>
    </row>
    <row r="765" spans="1:1" x14ac:dyDescent="0.3">
      <c r="A765">
        <v>-1225113.8274000001</v>
      </c>
    </row>
    <row r="766" spans="1:1" x14ac:dyDescent="0.3">
      <c r="A766">
        <v>8289233.2166999998</v>
      </c>
    </row>
    <row r="767" spans="1:1" x14ac:dyDescent="0.3">
      <c r="A767">
        <v>3246519.2902000002</v>
      </c>
    </row>
    <row r="768" spans="1:1" x14ac:dyDescent="0.3">
      <c r="A768">
        <v>-3899291.9391999999</v>
      </c>
    </row>
    <row r="769" spans="1:1" x14ac:dyDescent="0.3">
      <c r="A769">
        <v>4092224.0410000002</v>
      </c>
    </row>
    <row r="770" spans="1:1" x14ac:dyDescent="0.3">
      <c r="A770">
        <v>12592467.430199999</v>
      </c>
    </row>
    <row r="771" spans="1:1" x14ac:dyDescent="0.3">
      <c r="A771">
        <v>-1779467.3278999999</v>
      </c>
    </row>
    <row r="772" spans="1:1" x14ac:dyDescent="0.3">
      <c r="A772">
        <v>-1214131.9693</v>
      </c>
    </row>
    <row r="773" spans="1:1" x14ac:dyDescent="0.3">
      <c r="A773">
        <v>2178560.1897999998</v>
      </c>
    </row>
    <row r="774" spans="1:1" x14ac:dyDescent="0.3">
      <c r="A774">
        <v>1269761.5005000001</v>
      </c>
    </row>
    <row r="775" spans="1:1" x14ac:dyDescent="0.3">
      <c r="A775">
        <v>9806351.9518999998</v>
      </c>
    </row>
    <row r="776" spans="1:1" x14ac:dyDescent="0.3">
      <c r="A776">
        <v>1239753.3637999999</v>
      </c>
    </row>
    <row r="777" spans="1:1" x14ac:dyDescent="0.3">
      <c r="A777">
        <v>1033157.0229</v>
      </c>
    </row>
    <row r="778" spans="1:1" x14ac:dyDescent="0.3">
      <c r="A778">
        <v>-551266.19209999999</v>
      </c>
    </row>
    <row r="779" spans="1:1" x14ac:dyDescent="0.3">
      <c r="A779">
        <v>13248099.181600001</v>
      </c>
    </row>
    <row r="780" spans="1:1" x14ac:dyDescent="0.3">
      <c r="A780">
        <v>215124.54449999999</v>
      </c>
    </row>
    <row r="781" spans="1:1" x14ac:dyDescent="0.3">
      <c r="A781">
        <v>6159609.8446000004</v>
      </c>
    </row>
    <row r="782" spans="1:1" x14ac:dyDescent="0.3">
      <c r="A782">
        <v>-2620217.4758000001</v>
      </c>
    </row>
    <row r="783" spans="1:1" x14ac:dyDescent="0.3">
      <c r="A783">
        <v>283613.42430000001</v>
      </c>
    </row>
    <row r="784" spans="1:1" x14ac:dyDescent="0.3">
      <c r="A784">
        <v>4923091.3470999999</v>
      </c>
    </row>
    <row r="785" spans="1:1" x14ac:dyDescent="0.3">
      <c r="A785">
        <v>1982279.3951000001</v>
      </c>
    </row>
    <row r="786" spans="1:1" x14ac:dyDescent="0.3">
      <c r="A786">
        <v>-1984681.7949999999</v>
      </c>
    </row>
    <row r="787" spans="1:1" x14ac:dyDescent="0.3">
      <c r="A787">
        <v>6309638.9014999997</v>
      </c>
    </row>
    <row r="788" spans="1:1" x14ac:dyDescent="0.3">
      <c r="A788">
        <v>9714403.4788000006</v>
      </c>
    </row>
    <row r="789" spans="1:1" x14ac:dyDescent="0.3">
      <c r="A789">
        <v>-2335866.0542000001</v>
      </c>
    </row>
    <row r="790" spans="1:1" x14ac:dyDescent="0.3">
      <c r="A790">
        <v>-1254796.0678000001</v>
      </c>
    </row>
    <row r="791" spans="1:1" x14ac:dyDescent="0.3">
      <c r="A791">
        <v>13325093.644400001</v>
      </c>
    </row>
    <row r="792" spans="1:1" x14ac:dyDescent="0.3">
      <c r="A792">
        <v>-5111540.5832000002</v>
      </c>
    </row>
    <row r="793" spans="1:1" x14ac:dyDescent="0.3">
      <c r="A793">
        <v>98220.999400000001</v>
      </c>
    </row>
    <row r="794" spans="1:1" x14ac:dyDescent="0.3">
      <c r="A794">
        <v>-3549880.8099000002</v>
      </c>
    </row>
    <row r="795" spans="1:1" x14ac:dyDescent="0.3">
      <c r="A795">
        <v>8093549.9676999999</v>
      </c>
    </row>
    <row r="796" spans="1:1" x14ac:dyDescent="0.3">
      <c r="A796">
        <v>6191453.2005000003</v>
      </c>
    </row>
    <row r="797" spans="1:1" x14ac:dyDescent="0.3">
      <c r="A797">
        <v>-3733396.7958999998</v>
      </c>
    </row>
    <row r="798" spans="1:1" x14ac:dyDescent="0.3">
      <c r="A798">
        <v>-854543.26390000002</v>
      </c>
    </row>
    <row r="799" spans="1:1" x14ac:dyDescent="0.3">
      <c r="A799">
        <v>7527074.8715000004</v>
      </c>
    </row>
    <row r="800" spans="1:1" x14ac:dyDescent="0.3">
      <c r="A800">
        <v>829689.7672</v>
      </c>
    </row>
    <row r="801" spans="1:1" x14ac:dyDescent="0.3">
      <c r="A801">
        <v>264713.1704</v>
      </c>
    </row>
    <row r="802" spans="1:1" x14ac:dyDescent="0.3">
      <c r="A802">
        <v>5841481.8042000001</v>
      </c>
    </row>
    <row r="803" spans="1:1" x14ac:dyDescent="0.3">
      <c r="A803">
        <v>7914810.4921000004</v>
      </c>
    </row>
    <row r="804" spans="1:1" x14ac:dyDescent="0.3">
      <c r="A804">
        <v>-2654547.7609999999</v>
      </c>
    </row>
    <row r="805" spans="1:1" x14ac:dyDescent="0.3">
      <c r="A805">
        <v>12051305.753699999</v>
      </c>
    </row>
    <row r="806" spans="1:1" x14ac:dyDescent="0.3">
      <c r="A806">
        <v>-761606.50970000005</v>
      </c>
    </row>
    <row r="807" spans="1:1" x14ac:dyDescent="0.3">
      <c r="A807">
        <v>2734556.5677999998</v>
      </c>
    </row>
    <row r="808" spans="1:1" x14ac:dyDescent="0.3">
      <c r="A808">
        <v>-4691996.7518999996</v>
      </c>
    </row>
    <row r="809" spans="1:1" x14ac:dyDescent="0.3">
      <c r="A809">
        <v>4827626.9583000001</v>
      </c>
    </row>
    <row r="810" spans="1:1" x14ac:dyDescent="0.3">
      <c r="A810">
        <v>2386124.1279000002</v>
      </c>
    </row>
    <row r="811" spans="1:1" x14ac:dyDescent="0.3">
      <c r="A811">
        <v>-3198861.6096999999</v>
      </c>
    </row>
    <row r="812" spans="1:1" x14ac:dyDescent="0.3">
      <c r="A812">
        <v>1211086.0131999999</v>
      </c>
    </row>
    <row r="813" spans="1:1" x14ac:dyDescent="0.3">
      <c r="A813">
        <v>-845319.99479999999</v>
      </c>
    </row>
    <row r="814" spans="1:1" x14ac:dyDescent="0.3">
      <c r="A814">
        <v>11297774.8873</v>
      </c>
    </row>
    <row r="815" spans="1:1" x14ac:dyDescent="0.3">
      <c r="A815">
        <v>-1734510.5915999999</v>
      </c>
    </row>
    <row r="816" spans="1:1" x14ac:dyDescent="0.3">
      <c r="A816">
        <v>-2709535.8870999999</v>
      </c>
    </row>
    <row r="817" spans="1:1" x14ac:dyDescent="0.3">
      <c r="A817">
        <v>1114520.3759000001</v>
      </c>
    </row>
    <row r="818" spans="1:1" x14ac:dyDescent="0.3">
      <c r="A818">
        <v>-534530.19640000002</v>
      </c>
    </row>
    <row r="819" spans="1:1" x14ac:dyDescent="0.3">
      <c r="A819">
        <v>3435314.1768999998</v>
      </c>
    </row>
    <row r="820" spans="1:1" x14ac:dyDescent="0.3">
      <c r="A820">
        <v>6563616.915</v>
      </c>
    </row>
    <row r="821" spans="1:1" x14ac:dyDescent="0.3">
      <c r="A821">
        <v>17494158.488400001</v>
      </c>
    </row>
    <row r="822" spans="1:1" x14ac:dyDescent="0.3">
      <c r="A822">
        <v>6891264.1871999996</v>
      </c>
    </row>
    <row r="823" spans="1:1" x14ac:dyDescent="0.3">
      <c r="A823">
        <v>5301144.0091000004</v>
      </c>
    </row>
    <row r="824" spans="1:1" x14ac:dyDescent="0.3">
      <c r="A824">
        <v>5270755.2041999996</v>
      </c>
    </row>
    <row r="825" spans="1:1" x14ac:dyDescent="0.3">
      <c r="A825">
        <v>-558992.81370000006</v>
      </c>
    </row>
    <row r="826" spans="1:1" x14ac:dyDescent="0.3">
      <c r="A826">
        <v>9776361.1361999996</v>
      </c>
    </row>
    <row r="827" spans="1:1" x14ac:dyDescent="0.3">
      <c r="A827">
        <v>-822232.84239999996</v>
      </c>
    </row>
    <row r="828" spans="1:1" x14ac:dyDescent="0.3">
      <c r="A828">
        <v>-5619679.9703000002</v>
      </c>
    </row>
    <row r="829" spans="1:1" x14ac:dyDescent="0.3">
      <c r="A829">
        <v>3910688.5836</v>
      </c>
    </row>
    <row r="830" spans="1:1" x14ac:dyDescent="0.3">
      <c r="A830">
        <v>-2390261.0268999999</v>
      </c>
    </row>
    <row r="831" spans="1:1" x14ac:dyDescent="0.3">
      <c r="A831">
        <v>14959974.9717</v>
      </c>
    </row>
    <row r="832" spans="1:1" x14ac:dyDescent="0.3">
      <c r="A832">
        <v>-1199519.8570999999</v>
      </c>
    </row>
    <row r="833" spans="1:1" x14ac:dyDescent="0.3">
      <c r="A833">
        <v>10582170.857899999</v>
      </c>
    </row>
    <row r="834" spans="1:1" x14ac:dyDescent="0.3">
      <c r="A834">
        <v>-1860217.5663999999</v>
      </c>
    </row>
    <row r="835" spans="1:1" x14ac:dyDescent="0.3">
      <c r="A835">
        <v>7790317.1858999999</v>
      </c>
    </row>
    <row r="836" spans="1:1" x14ac:dyDescent="0.3">
      <c r="A836">
        <v>1947473.1018000001</v>
      </c>
    </row>
    <row r="837" spans="1:1" x14ac:dyDescent="0.3">
      <c r="A837">
        <v>2903421.6096999999</v>
      </c>
    </row>
    <row r="838" spans="1:1" x14ac:dyDescent="0.3">
      <c r="A838">
        <v>-2526534.3670000001</v>
      </c>
    </row>
    <row r="839" spans="1:1" x14ac:dyDescent="0.3">
      <c r="A839">
        <v>-4847625.1733999997</v>
      </c>
    </row>
    <row r="840" spans="1:1" x14ac:dyDescent="0.3">
      <c r="A840">
        <v>3086238.5041</v>
      </c>
    </row>
    <row r="841" spans="1:1" x14ac:dyDescent="0.3">
      <c r="A841">
        <v>-5290833.8882999998</v>
      </c>
    </row>
    <row r="842" spans="1:1" x14ac:dyDescent="0.3">
      <c r="A842">
        <v>-2968169.4504</v>
      </c>
    </row>
    <row r="843" spans="1:1" x14ac:dyDescent="0.3">
      <c r="A843">
        <v>-4359163.0859000003</v>
      </c>
    </row>
    <row r="844" spans="1:1" x14ac:dyDescent="0.3">
      <c r="A844">
        <v>1130153.7847</v>
      </c>
    </row>
    <row r="845" spans="1:1" x14ac:dyDescent="0.3">
      <c r="A845">
        <v>2533006.0935999998</v>
      </c>
    </row>
    <row r="846" spans="1:1" x14ac:dyDescent="0.3">
      <c r="A846">
        <v>-2665114.4079</v>
      </c>
    </row>
    <row r="847" spans="1:1" x14ac:dyDescent="0.3">
      <c r="A847">
        <v>948868.69669999997</v>
      </c>
    </row>
    <row r="848" spans="1:1" x14ac:dyDescent="0.3">
      <c r="A848">
        <v>3182357.0224000001</v>
      </c>
    </row>
    <row r="849" spans="1:1" x14ac:dyDescent="0.3">
      <c r="A849">
        <v>10214209.5175</v>
      </c>
    </row>
    <row r="850" spans="1:1" x14ac:dyDescent="0.3">
      <c r="A850">
        <v>2482277.9520999999</v>
      </c>
    </row>
    <row r="851" spans="1:1" x14ac:dyDescent="0.3">
      <c r="A851">
        <v>-1828660.9383</v>
      </c>
    </row>
    <row r="852" spans="1:1" x14ac:dyDescent="0.3">
      <c r="A852">
        <v>5178761.1875999998</v>
      </c>
    </row>
    <row r="853" spans="1:1" x14ac:dyDescent="0.3">
      <c r="A853">
        <v>-349451.62160000001</v>
      </c>
    </row>
    <row r="854" spans="1:1" x14ac:dyDescent="0.3">
      <c r="A854">
        <v>4326159.6491999999</v>
      </c>
    </row>
    <row r="855" spans="1:1" x14ac:dyDescent="0.3">
      <c r="A855">
        <v>3184039.7311999998</v>
      </c>
    </row>
    <row r="856" spans="1:1" x14ac:dyDescent="0.3">
      <c r="A856">
        <v>5564748.1019000001</v>
      </c>
    </row>
    <row r="857" spans="1:1" x14ac:dyDescent="0.3">
      <c r="A857">
        <v>213929.26180000001</v>
      </c>
    </row>
    <row r="858" spans="1:1" x14ac:dyDescent="0.3">
      <c r="A858">
        <v>-3603529.8591</v>
      </c>
    </row>
    <row r="859" spans="1:1" x14ac:dyDescent="0.3">
      <c r="A859">
        <v>16038.973400000001</v>
      </c>
    </row>
    <row r="860" spans="1:1" x14ac:dyDescent="0.3">
      <c r="A860">
        <v>-5568706.7175000003</v>
      </c>
    </row>
    <row r="861" spans="1:1" x14ac:dyDescent="0.3">
      <c r="A861">
        <v>-5558811.5004000003</v>
      </c>
    </row>
    <row r="862" spans="1:1" x14ac:dyDescent="0.3">
      <c r="A862">
        <v>8478312.6468000002</v>
      </c>
    </row>
    <row r="863" spans="1:1" x14ac:dyDescent="0.3">
      <c r="A863">
        <v>1020102.2610000001</v>
      </c>
    </row>
    <row r="864" spans="1:1" x14ac:dyDescent="0.3">
      <c r="A864">
        <v>4636561.5380999995</v>
      </c>
    </row>
    <row r="865" spans="1:1" x14ac:dyDescent="0.3">
      <c r="A865">
        <v>5140314.0323000001</v>
      </c>
    </row>
    <row r="866" spans="1:1" x14ac:dyDescent="0.3">
      <c r="A866">
        <v>5837990.3338000001</v>
      </c>
    </row>
    <row r="867" spans="1:1" x14ac:dyDescent="0.3">
      <c r="A867">
        <v>-2300970.0932</v>
      </c>
    </row>
    <row r="868" spans="1:1" x14ac:dyDescent="0.3">
      <c r="A868">
        <v>10366978.865900001</v>
      </c>
    </row>
    <row r="869" spans="1:1" x14ac:dyDescent="0.3">
      <c r="A869">
        <v>-2610625.0332999998</v>
      </c>
    </row>
    <row r="870" spans="1:1" x14ac:dyDescent="0.3">
      <c r="A870">
        <v>5487874.9897999996</v>
      </c>
    </row>
    <row r="871" spans="1:1" x14ac:dyDescent="0.3">
      <c r="A871">
        <v>2556413.2198000001</v>
      </c>
    </row>
    <row r="872" spans="1:1" x14ac:dyDescent="0.3">
      <c r="A872">
        <v>-5054319.7856000001</v>
      </c>
    </row>
    <row r="873" spans="1:1" x14ac:dyDescent="0.3">
      <c r="A873">
        <v>-1035619.5713</v>
      </c>
    </row>
    <row r="874" spans="1:1" x14ac:dyDescent="0.3">
      <c r="A874">
        <v>-5180669.6550000003</v>
      </c>
    </row>
    <row r="875" spans="1:1" x14ac:dyDescent="0.3">
      <c r="A875">
        <v>-2790768.2645</v>
      </c>
    </row>
    <row r="876" spans="1:1" x14ac:dyDescent="0.3">
      <c r="A876">
        <v>2704475.7870999998</v>
      </c>
    </row>
    <row r="877" spans="1:1" x14ac:dyDescent="0.3">
      <c r="A877">
        <v>1551920.1947000001</v>
      </c>
    </row>
    <row r="878" spans="1:1" x14ac:dyDescent="0.3">
      <c r="A878">
        <v>11622893.511</v>
      </c>
    </row>
    <row r="879" spans="1:1" x14ac:dyDescent="0.3">
      <c r="A879">
        <v>-2681017.5537999999</v>
      </c>
    </row>
    <row r="880" spans="1:1" x14ac:dyDescent="0.3">
      <c r="A880">
        <v>-4218775.0816000002</v>
      </c>
    </row>
    <row r="881" spans="1:1" x14ac:dyDescent="0.3">
      <c r="A881">
        <v>4001777.1723000002</v>
      </c>
    </row>
    <row r="882" spans="1:1" x14ac:dyDescent="0.3">
      <c r="A882">
        <v>4919146.1591999996</v>
      </c>
    </row>
    <row r="883" spans="1:1" x14ac:dyDescent="0.3">
      <c r="A883">
        <v>9098128.9333999995</v>
      </c>
    </row>
    <row r="884" spans="1:1" x14ac:dyDescent="0.3">
      <c r="A884">
        <v>5680222.1560000004</v>
      </c>
    </row>
    <row r="885" spans="1:1" x14ac:dyDescent="0.3">
      <c r="A885">
        <v>3007883.7897000001</v>
      </c>
    </row>
    <row r="886" spans="1:1" x14ac:dyDescent="0.3">
      <c r="A886">
        <v>5001625.9504000004</v>
      </c>
    </row>
    <row r="887" spans="1:1" x14ac:dyDescent="0.3">
      <c r="A887">
        <v>-3246531.3766999999</v>
      </c>
    </row>
    <row r="888" spans="1:1" x14ac:dyDescent="0.3">
      <c r="A888">
        <v>1888555.5571999999</v>
      </c>
    </row>
    <row r="889" spans="1:1" x14ac:dyDescent="0.3">
      <c r="A889">
        <v>6016128.3279999997</v>
      </c>
    </row>
    <row r="890" spans="1:1" x14ac:dyDescent="0.3">
      <c r="A890">
        <v>-1742864.1432</v>
      </c>
    </row>
    <row r="891" spans="1:1" x14ac:dyDescent="0.3">
      <c r="A891">
        <v>10383735.786900001</v>
      </c>
    </row>
    <row r="892" spans="1:1" x14ac:dyDescent="0.3">
      <c r="A892">
        <v>-52676.7762</v>
      </c>
    </row>
    <row r="893" spans="1:1" x14ac:dyDescent="0.3">
      <c r="A893">
        <v>578075.43460000004</v>
      </c>
    </row>
    <row r="894" spans="1:1" x14ac:dyDescent="0.3">
      <c r="A894">
        <v>6062752.7573999995</v>
      </c>
    </row>
    <row r="895" spans="1:1" x14ac:dyDescent="0.3">
      <c r="A895">
        <v>9241196.0681999996</v>
      </c>
    </row>
    <row r="896" spans="1:1" x14ac:dyDescent="0.3">
      <c r="A896">
        <v>-1718794.7165000001</v>
      </c>
    </row>
    <row r="897" spans="1:1" x14ac:dyDescent="0.3">
      <c r="A897">
        <v>-4582524.0877</v>
      </c>
    </row>
    <row r="898" spans="1:1" x14ac:dyDescent="0.3">
      <c r="A898">
        <v>1601433.1921999999</v>
      </c>
    </row>
    <row r="899" spans="1:1" x14ac:dyDescent="0.3">
      <c r="A899">
        <v>2867471.4293999998</v>
      </c>
    </row>
    <row r="900" spans="1:1" x14ac:dyDescent="0.3">
      <c r="A900">
        <v>-1735290.2757999999</v>
      </c>
    </row>
    <row r="901" spans="1:1" x14ac:dyDescent="0.3">
      <c r="A901">
        <v>4915846.2298999997</v>
      </c>
    </row>
    <row r="902" spans="1:1" x14ac:dyDescent="0.3">
      <c r="A902">
        <v>5494668.9068999998</v>
      </c>
    </row>
    <row r="903" spans="1:1" x14ac:dyDescent="0.3">
      <c r="A903">
        <v>533609.38749999995</v>
      </c>
    </row>
    <row r="904" spans="1:1" x14ac:dyDescent="0.3">
      <c r="A904">
        <v>10622824.7026</v>
      </c>
    </row>
    <row r="905" spans="1:1" x14ac:dyDescent="0.3">
      <c r="A905">
        <v>8333057.7335000001</v>
      </c>
    </row>
    <row r="906" spans="1:1" x14ac:dyDescent="0.3">
      <c r="A906">
        <v>3963090.6502</v>
      </c>
    </row>
    <row r="907" spans="1:1" x14ac:dyDescent="0.3">
      <c r="A907">
        <v>1423596.3407000001</v>
      </c>
    </row>
    <row r="908" spans="1:1" x14ac:dyDescent="0.3">
      <c r="A908">
        <v>8039532.2966</v>
      </c>
    </row>
    <row r="909" spans="1:1" x14ac:dyDescent="0.3">
      <c r="A909">
        <v>6674812.1210000003</v>
      </c>
    </row>
    <row r="910" spans="1:1" x14ac:dyDescent="0.3">
      <c r="A910">
        <v>-5257848.9929</v>
      </c>
    </row>
    <row r="911" spans="1:1" x14ac:dyDescent="0.3">
      <c r="A911">
        <v>7976606.9230000004</v>
      </c>
    </row>
    <row r="912" spans="1:1" x14ac:dyDescent="0.3">
      <c r="A912">
        <v>1020870.1634</v>
      </c>
    </row>
    <row r="913" spans="1:1" x14ac:dyDescent="0.3">
      <c r="A913">
        <v>-5584792.2846999997</v>
      </c>
    </row>
    <row r="914" spans="1:1" x14ac:dyDescent="0.3">
      <c r="A914">
        <v>3876460.9945</v>
      </c>
    </row>
    <row r="915" spans="1:1" x14ac:dyDescent="0.3">
      <c r="A915">
        <v>12906215.6492</v>
      </c>
    </row>
    <row r="916" spans="1:1" x14ac:dyDescent="0.3">
      <c r="A916">
        <v>4893290.4477000004</v>
      </c>
    </row>
    <row r="917" spans="1:1" x14ac:dyDescent="0.3">
      <c r="A917">
        <v>5579121.0710000005</v>
      </c>
    </row>
    <row r="918" spans="1:1" x14ac:dyDescent="0.3">
      <c r="A918">
        <v>4470434.0994999995</v>
      </c>
    </row>
    <row r="919" spans="1:1" x14ac:dyDescent="0.3">
      <c r="A919">
        <v>3710726.7629</v>
      </c>
    </row>
    <row r="920" spans="1:1" x14ac:dyDescent="0.3">
      <c r="A920">
        <v>5289046.4384000003</v>
      </c>
    </row>
    <row r="921" spans="1:1" x14ac:dyDescent="0.3">
      <c r="A921">
        <v>1471896.3788000001</v>
      </c>
    </row>
    <row r="922" spans="1:1" x14ac:dyDescent="0.3">
      <c r="A922">
        <v>-3034848.5762999998</v>
      </c>
    </row>
    <row r="923" spans="1:1" x14ac:dyDescent="0.3">
      <c r="A923">
        <v>5485296.9957999997</v>
      </c>
    </row>
    <row r="924" spans="1:1" x14ac:dyDescent="0.3">
      <c r="A924">
        <v>127321.8466</v>
      </c>
    </row>
    <row r="925" spans="1:1" x14ac:dyDescent="0.3">
      <c r="A925">
        <v>4432701.5763999997</v>
      </c>
    </row>
    <row r="926" spans="1:1" x14ac:dyDescent="0.3">
      <c r="A926">
        <v>11083168.385399999</v>
      </c>
    </row>
    <row r="927" spans="1:1" x14ac:dyDescent="0.3">
      <c r="A927">
        <v>4655081.0848000003</v>
      </c>
    </row>
    <row r="928" spans="1:1" x14ac:dyDescent="0.3">
      <c r="A928">
        <v>6671905.7509000003</v>
      </c>
    </row>
    <row r="929" spans="1:1" x14ac:dyDescent="0.3">
      <c r="A929">
        <v>8904031.4680000003</v>
      </c>
    </row>
    <row r="930" spans="1:1" x14ac:dyDescent="0.3">
      <c r="A930">
        <v>1574703.14</v>
      </c>
    </row>
    <row r="931" spans="1:1" x14ac:dyDescent="0.3">
      <c r="A931">
        <v>1974864.8259000001</v>
      </c>
    </row>
    <row r="932" spans="1:1" x14ac:dyDescent="0.3">
      <c r="A932">
        <v>-1471869.2763</v>
      </c>
    </row>
    <row r="933" spans="1:1" x14ac:dyDescent="0.3">
      <c r="A933">
        <v>4700779.4192000004</v>
      </c>
    </row>
    <row r="934" spans="1:1" x14ac:dyDescent="0.3">
      <c r="A934">
        <v>-1257944.355</v>
      </c>
    </row>
    <row r="935" spans="1:1" x14ac:dyDescent="0.3">
      <c r="A935">
        <v>8263001.2618000004</v>
      </c>
    </row>
    <row r="936" spans="1:1" x14ac:dyDescent="0.3">
      <c r="A936">
        <v>-691531.42550000001</v>
      </c>
    </row>
    <row r="937" spans="1:1" x14ac:dyDescent="0.3">
      <c r="A937">
        <v>-1711123.6209</v>
      </c>
    </row>
    <row r="938" spans="1:1" x14ac:dyDescent="0.3">
      <c r="A938">
        <v>8163157.5831000004</v>
      </c>
    </row>
    <row r="939" spans="1:1" x14ac:dyDescent="0.3">
      <c r="A939">
        <v>8968742.0316000003</v>
      </c>
    </row>
    <row r="940" spans="1:1" x14ac:dyDescent="0.3">
      <c r="A940">
        <v>16477920.341600001</v>
      </c>
    </row>
    <row r="941" spans="1:1" x14ac:dyDescent="0.3">
      <c r="A941">
        <v>6248622.7199999997</v>
      </c>
    </row>
    <row r="942" spans="1:1" x14ac:dyDescent="0.3">
      <c r="A942">
        <v>3396580.213</v>
      </c>
    </row>
    <row r="943" spans="1:1" x14ac:dyDescent="0.3">
      <c r="A943">
        <v>-1150028.3507999999</v>
      </c>
    </row>
    <row r="944" spans="1:1" x14ac:dyDescent="0.3">
      <c r="A944">
        <v>-1016462.9906</v>
      </c>
    </row>
    <row r="945" spans="1:1" x14ac:dyDescent="0.3">
      <c r="A945">
        <v>13858931.220699999</v>
      </c>
    </row>
    <row r="946" spans="1:1" x14ac:dyDescent="0.3">
      <c r="A946">
        <v>-5319869.767</v>
      </c>
    </row>
    <row r="947" spans="1:1" x14ac:dyDescent="0.3">
      <c r="A947">
        <v>4025806.9411999998</v>
      </c>
    </row>
    <row r="948" spans="1:1" x14ac:dyDescent="0.3">
      <c r="A948">
        <v>633526.12560000003</v>
      </c>
    </row>
    <row r="949" spans="1:1" x14ac:dyDescent="0.3">
      <c r="A949">
        <v>14367974.8224</v>
      </c>
    </row>
    <row r="950" spans="1:1" x14ac:dyDescent="0.3">
      <c r="A950">
        <v>-3718518.2129000002</v>
      </c>
    </row>
    <row r="951" spans="1:1" x14ac:dyDescent="0.3">
      <c r="A951">
        <v>8630616.8964000009</v>
      </c>
    </row>
    <row r="952" spans="1:1" x14ac:dyDescent="0.3">
      <c r="A952">
        <v>2981973.4071</v>
      </c>
    </row>
    <row r="953" spans="1:1" x14ac:dyDescent="0.3">
      <c r="A953">
        <v>-4812539.1511000004</v>
      </c>
    </row>
    <row r="954" spans="1:1" x14ac:dyDescent="0.3">
      <c r="A954">
        <v>-4885972.6292000003</v>
      </c>
    </row>
    <row r="955" spans="1:1" x14ac:dyDescent="0.3">
      <c r="A955">
        <v>-3709880.3410999998</v>
      </c>
    </row>
    <row r="956" spans="1:1" x14ac:dyDescent="0.3">
      <c r="A956">
        <v>5314876.2401000001</v>
      </c>
    </row>
    <row r="957" spans="1:1" x14ac:dyDescent="0.3">
      <c r="A957">
        <v>11122767.149599999</v>
      </c>
    </row>
    <row r="958" spans="1:1" x14ac:dyDescent="0.3">
      <c r="A958">
        <v>2150701.8006000002</v>
      </c>
    </row>
    <row r="959" spans="1:1" x14ac:dyDescent="0.3">
      <c r="A959">
        <v>5488796.9596999995</v>
      </c>
    </row>
    <row r="960" spans="1:1" x14ac:dyDescent="0.3">
      <c r="A960">
        <v>5620501.6314000003</v>
      </c>
    </row>
    <row r="961" spans="1:1" x14ac:dyDescent="0.3">
      <c r="A961">
        <v>2666425.1277999999</v>
      </c>
    </row>
    <row r="962" spans="1:1" x14ac:dyDescent="0.3">
      <c r="A962">
        <v>5892125.6414000001</v>
      </c>
    </row>
    <row r="963" spans="1:1" x14ac:dyDescent="0.3">
      <c r="A963">
        <v>-216621.14300000001</v>
      </c>
    </row>
    <row r="964" spans="1:1" x14ac:dyDescent="0.3">
      <c r="A964">
        <v>5422245.3788999999</v>
      </c>
    </row>
    <row r="965" spans="1:1" x14ac:dyDescent="0.3">
      <c r="A965">
        <v>1570789.2298000001</v>
      </c>
    </row>
    <row r="966" spans="1:1" x14ac:dyDescent="0.3">
      <c r="A966">
        <v>8853416.0269000009</v>
      </c>
    </row>
    <row r="967" spans="1:1" x14ac:dyDescent="0.3">
      <c r="A967">
        <v>10345119.318700001</v>
      </c>
    </row>
    <row r="968" spans="1:1" x14ac:dyDescent="0.3">
      <c r="A968">
        <v>5677970.5664999997</v>
      </c>
    </row>
    <row r="969" spans="1:1" x14ac:dyDescent="0.3">
      <c r="A969">
        <v>-4341475.8260000004</v>
      </c>
    </row>
    <row r="970" spans="1:1" x14ac:dyDescent="0.3">
      <c r="A970">
        <v>11490053.1231</v>
      </c>
    </row>
    <row r="971" spans="1:1" x14ac:dyDescent="0.3">
      <c r="A971">
        <v>-233754.55499999999</v>
      </c>
    </row>
    <row r="972" spans="1:1" x14ac:dyDescent="0.3">
      <c r="A972">
        <v>5886270.3170999996</v>
      </c>
    </row>
    <row r="973" spans="1:1" x14ac:dyDescent="0.3">
      <c r="A973">
        <v>1453113.2364000001</v>
      </c>
    </row>
    <row r="974" spans="1:1" x14ac:dyDescent="0.3">
      <c r="A974">
        <v>10878544.649499999</v>
      </c>
    </row>
    <row r="975" spans="1:1" x14ac:dyDescent="0.3">
      <c r="A975">
        <v>-3040135.2842000001</v>
      </c>
    </row>
    <row r="976" spans="1:1" x14ac:dyDescent="0.3">
      <c r="A976">
        <v>965957.04359999998</v>
      </c>
    </row>
    <row r="977" spans="1:1" x14ac:dyDescent="0.3">
      <c r="A977">
        <v>-3308654.1161000002</v>
      </c>
    </row>
    <row r="978" spans="1:1" x14ac:dyDescent="0.3">
      <c r="A978">
        <v>-3872822.9975000001</v>
      </c>
    </row>
    <row r="979" spans="1:1" x14ac:dyDescent="0.3">
      <c r="A979">
        <v>9204136.0306000002</v>
      </c>
    </row>
    <row r="980" spans="1:1" x14ac:dyDescent="0.3">
      <c r="A980">
        <v>4908823.9539000001</v>
      </c>
    </row>
    <row r="981" spans="1:1" x14ac:dyDescent="0.3">
      <c r="A981">
        <v>8167425.4009999996</v>
      </c>
    </row>
    <row r="982" spans="1:1" x14ac:dyDescent="0.3">
      <c r="A982">
        <v>-4822604.0883999998</v>
      </c>
    </row>
    <row r="983" spans="1:1" x14ac:dyDescent="0.3">
      <c r="A983">
        <v>4696451.9972999999</v>
      </c>
    </row>
    <row r="984" spans="1:1" x14ac:dyDescent="0.3">
      <c r="A984">
        <v>13406599.4025</v>
      </c>
    </row>
    <row r="985" spans="1:1" x14ac:dyDescent="0.3">
      <c r="A985">
        <v>7601396.0335999997</v>
      </c>
    </row>
    <row r="986" spans="1:1" x14ac:dyDescent="0.3">
      <c r="A986">
        <v>-1236750.5419999999</v>
      </c>
    </row>
    <row r="987" spans="1:1" x14ac:dyDescent="0.3">
      <c r="A987">
        <v>-73860.499800000005</v>
      </c>
    </row>
    <row r="988" spans="1:1" x14ac:dyDescent="0.3">
      <c r="A988">
        <v>-4690512.7284000004</v>
      </c>
    </row>
    <row r="989" spans="1:1" x14ac:dyDescent="0.3">
      <c r="A989">
        <v>-3023969.0665000002</v>
      </c>
    </row>
    <row r="990" spans="1:1" x14ac:dyDescent="0.3">
      <c r="A990">
        <v>-1533833.1384999999</v>
      </c>
    </row>
    <row r="991" spans="1:1" x14ac:dyDescent="0.3">
      <c r="A991">
        <v>7175872.5038000001</v>
      </c>
    </row>
    <row r="992" spans="1:1" x14ac:dyDescent="0.3">
      <c r="A992">
        <v>-3079130.7122</v>
      </c>
    </row>
    <row r="993" spans="1:1" x14ac:dyDescent="0.3">
      <c r="A993">
        <v>-2712450.4057</v>
      </c>
    </row>
    <row r="994" spans="1:1" x14ac:dyDescent="0.3">
      <c r="A994">
        <v>14894758.033500001</v>
      </c>
    </row>
    <row r="995" spans="1:1" x14ac:dyDescent="0.3">
      <c r="A995">
        <v>2373452.6168</v>
      </c>
    </row>
    <row r="996" spans="1:1" x14ac:dyDescent="0.3">
      <c r="A996">
        <v>3172421.9559999998</v>
      </c>
    </row>
    <row r="997" spans="1:1" x14ac:dyDescent="0.3">
      <c r="A997">
        <v>-1446883.2285</v>
      </c>
    </row>
    <row r="998" spans="1:1" x14ac:dyDescent="0.3">
      <c r="A998">
        <v>4346961.2412</v>
      </c>
    </row>
    <row r="999" spans="1:1" x14ac:dyDescent="0.3">
      <c r="A999">
        <v>-2854735.0523999999</v>
      </c>
    </row>
    <row r="1000" spans="1:1" x14ac:dyDescent="0.3">
      <c r="A1000">
        <v>-2706537.2020999999</v>
      </c>
    </row>
  </sheetData>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59C2D3-D0C5-4255-A490-62E14870F41B}">
  <sheetPr codeName="Sheet7">
    <tabColor theme="1"/>
  </sheetPr>
  <dimension ref="A8:Q61"/>
  <sheetViews>
    <sheetView topLeftCell="A40" zoomScale="85" zoomScaleNormal="85" workbookViewId="0">
      <selection activeCell="A71" sqref="A71"/>
    </sheetView>
  </sheetViews>
  <sheetFormatPr defaultRowHeight="14.4" x14ac:dyDescent="0.3"/>
  <cols>
    <col min="1" max="1" width="30.33203125" customWidth="1"/>
    <col min="2" max="16" width="13.5546875" customWidth="1"/>
  </cols>
  <sheetData>
    <row r="8" spans="1:7" x14ac:dyDescent="0.3">
      <c r="A8" s="11" t="s">
        <v>14</v>
      </c>
    </row>
    <row r="9" spans="1:7" x14ac:dyDescent="0.3">
      <c r="A9" t="s">
        <v>5</v>
      </c>
      <c r="B9" s="38">
        <v>0.1</v>
      </c>
      <c r="C9" s="10">
        <f t="shared" ref="C9:C16" si="0">IF(_xlfn.IFNA(INDEX(changes,MATCH(A9,scen_var,0),MATCH(scenario,scen_chosen)),0)=0,B9,B9*(1+_xlfn.IFNA(INDEX(changes,MATCH(A9,scen_var,0),MATCH(scenario,scen_chosen)),0)))</f>
        <v>0.1</v>
      </c>
      <c r="D9" s="10"/>
      <c r="F9" s="11" t="s">
        <v>52</v>
      </c>
    </row>
    <row r="10" spans="1:7" x14ac:dyDescent="0.3">
      <c r="A10" t="s">
        <v>19</v>
      </c>
      <c r="B10" s="43">
        <f ca="1">'Output Report'!E72</f>
        <v>2.7243124398952535E-2</v>
      </c>
      <c r="C10" s="10">
        <f t="shared" ca="1" si="0"/>
        <v>2.7243124398952535E-2</v>
      </c>
      <c r="F10" t="s">
        <v>51</v>
      </c>
      <c r="G10" s="36">
        <v>-0.5</v>
      </c>
    </row>
    <row r="11" spans="1:7" x14ac:dyDescent="0.3">
      <c r="A11" t="s">
        <v>27</v>
      </c>
      <c r="B11" s="44">
        <f ca="1">B9-B10</f>
        <v>7.2756875601047474E-2</v>
      </c>
      <c r="C11" s="10">
        <f t="shared" ca="1" si="0"/>
        <v>7.2756875601047474E-2</v>
      </c>
      <c r="F11" t="s">
        <v>50</v>
      </c>
      <c r="G11" s="36">
        <v>2</v>
      </c>
    </row>
    <row r="12" spans="1:7" x14ac:dyDescent="0.3">
      <c r="A12" t="s">
        <v>15</v>
      </c>
      <c r="B12" s="33">
        <v>12</v>
      </c>
      <c r="C12">
        <f t="shared" si="0"/>
        <v>12</v>
      </c>
      <c r="F12" t="s">
        <v>47</v>
      </c>
      <c r="G12" s="37">
        <v>-10000000</v>
      </c>
    </row>
    <row r="13" spans="1:7" x14ac:dyDescent="0.3">
      <c r="A13" t="s">
        <v>18</v>
      </c>
      <c r="B13" s="38">
        <v>0.2</v>
      </c>
      <c r="C13" s="10">
        <f t="shared" si="0"/>
        <v>0.2</v>
      </c>
    </row>
    <row r="14" spans="1:7" x14ac:dyDescent="0.3">
      <c r="A14" t="s">
        <v>7</v>
      </c>
      <c r="B14" s="40">
        <v>-10000000</v>
      </c>
      <c r="C14" s="18">
        <f t="shared" si="0"/>
        <v>-10000000</v>
      </c>
    </row>
    <row r="15" spans="1:7" x14ac:dyDescent="0.3">
      <c r="A15" t="s">
        <v>8</v>
      </c>
      <c r="B15" s="33">
        <v>2</v>
      </c>
      <c r="C15">
        <f t="shared" si="0"/>
        <v>2</v>
      </c>
    </row>
    <row r="16" spans="1:7" x14ac:dyDescent="0.3">
      <c r="A16" t="s">
        <v>16</v>
      </c>
      <c r="B16" s="41">
        <f>-C14+SUM(D44:O44)</f>
        <v>769230.76923076995</v>
      </c>
      <c r="C16" s="13">
        <f t="shared" si="0"/>
        <v>769230.76923076995</v>
      </c>
    </row>
    <row r="18" spans="1:8" x14ac:dyDescent="0.3">
      <c r="A18" s="11" t="s">
        <v>29</v>
      </c>
    </row>
    <row r="19" spans="1:8" x14ac:dyDescent="0.3">
      <c r="A19" t="s">
        <v>21</v>
      </c>
      <c r="B19" s="34">
        <v>0</v>
      </c>
      <c r="C19" t="s">
        <v>22</v>
      </c>
      <c r="D19" s="34">
        <v>1</v>
      </c>
      <c r="E19" s="18">
        <f>C14/C15</f>
        <v>-5000000</v>
      </c>
    </row>
    <row r="21" spans="1:8" x14ac:dyDescent="0.3">
      <c r="A21" s="11" t="s">
        <v>12</v>
      </c>
    </row>
    <row r="22" spans="1:8" x14ac:dyDescent="0.3">
      <c r="A22" t="s">
        <v>10</v>
      </c>
      <c r="B22" s="17">
        <f ca="1">'Output Report'!E70</f>
        <v>1.6260611904785369</v>
      </c>
      <c r="C22" s="17">
        <f ca="1">IF(_xlfn.IFNA(INDEX(changes,MATCH(A22,scen_var,0),MATCH(scenario,scen_chosen)),0)=0,B22,B22*(1+_xlfn.IFNA(INDEX(changes,MATCH(Inputs!A22,scen_var,0),MATCH(scenario,scen_chosen)),0)))</f>
        <v>1.6260611904785369</v>
      </c>
    </row>
    <row r="23" spans="1:8" x14ac:dyDescent="0.3">
      <c r="A23" t="s">
        <v>11</v>
      </c>
      <c r="B23" s="17">
        <f ca="1">'Output Report'!E71</f>
        <v>-0.65662923934524742</v>
      </c>
      <c r="C23" s="17">
        <f ca="1">IF(_xlfn.IFNA(INDEX(changes,MATCH(A23,scen_var,0),MATCH(scenario,scen_chosen)),0)=0,B23,B23*(1+_xlfn.IFNA(INDEX(changes,MATCH(Inputs!A23,scen_var,0),MATCH(scenario,scen_chosen)),0)))</f>
        <v>-0.65662923934524742</v>
      </c>
    </row>
    <row r="24" spans="1:8" x14ac:dyDescent="0.3">
      <c r="A24" s="11" t="s">
        <v>55</v>
      </c>
    </row>
    <row r="25" spans="1:8" x14ac:dyDescent="0.3">
      <c r="A25" t="s">
        <v>56</v>
      </c>
      <c r="B25" t="s">
        <v>21</v>
      </c>
      <c r="C25" s="34">
        <v>0</v>
      </c>
      <c r="D25" t="s">
        <v>22</v>
      </c>
      <c r="E25" s="35">
        <v>1</v>
      </c>
      <c r="F25" s="33">
        <v>0</v>
      </c>
      <c r="G25" s="22">
        <f>IF(_xlfn.IFNA(INDEX(changes,MATCH(Inputs!A25,scen_var,0),MATCH(scenario,scen_chosen)),0)=0,F25,F25*(1+_xlfn.IFNA(INDEX(changes,MATCH(Inputs!A25,scen_var,0),MATCH(scenario,scen_chosen)),0)))</f>
        <v>0</v>
      </c>
      <c r="H25" s="22"/>
    </row>
    <row r="26" spans="1:8" x14ac:dyDescent="0.3">
      <c r="A26" t="s">
        <v>57</v>
      </c>
      <c r="B26" t="s">
        <v>21</v>
      </c>
      <c r="C26" s="34">
        <v>2</v>
      </c>
      <c r="D26" t="s">
        <v>22</v>
      </c>
      <c r="E26" s="35">
        <v>4</v>
      </c>
      <c r="F26" s="31">
        <f ca="1">'Output Report'!E73</f>
        <v>901538.90156815527</v>
      </c>
      <c r="G26" s="22">
        <f ca="1">IF(_xlfn.IFNA(INDEX(changes,MATCH(Inputs!A26,scen_var,0),MATCH(scenario,scen_chosen)),0)=0,F26,F26*(1+_xlfn.IFNA(INDEX(changes,MATCH(Inputs!A26,scen_var,0),MATCH(scenario,scen_chosen)),0)))</f>
        <v>901538.90156815527</v>
      </c>
      <c r="H26" s="22"/>
    </row>
    <row r="27" spans="1:8" x14ac:dyDescent="0.3">
      <c r="A27" t="s">
        <v>58</v>
      </c>
      <c r="B27" t="s">
        <v>21</v>
      </c>
      <c r="C27" s="34">
        <v>5</v>
      </c>
      <c r="D27" t="s">
        <v>22</v>
      </c>
      <c r="E27" s="35">
        <v>13</v>
      </c>
      <c r="F27" s="31">
        <f ca="1">'Output Report'!E74</f>
        <v>1006869.5317844583</v>
      </c>
      <c r="G27" s="22">
        <f ca="1">IF(_xlfn.IFNA(INDEX(changes,MATCH(Inputs!A27,scen_var,0),MATCH(scenario,scen_chosen)),0)=0,F27,F27*(1+_xlfn.IFNA(INDEX(changes,MATCH(Inputs!A27,scen_var,0),MATCH(scenario,scen_chosen)),0)))</f>
        <v>1006869.5317844583</v>
      </c>
      <c r="H27" s="22"/>
    </row>
    <row r="29" spans="1:8" x14ac:dyDescent="0.3">
      <c r="A29" s="11" t="s">
        <v>26</v>
      </c>
    </row>
    <row r="30" spans="1:8" x14ac:dyDescent="0.3">
      <c r="A30" t="s">
        <v>59</v>
      </c>
      <c r="B30" t="s">
        <v>21</v>
      </c>
      <c r="C30" s="34">
        <v>0</v>
      </c>
      <c r="D30" t="s">
        <v>22</v>
      </c>
      <c r="E30" s="35">
        <v>1</v>
      </c>
      <c r="F30" s="33">
        <v>0</v>
      </c>
      <c r="G30" s="18">
        <f>IF(_xlfn.IFNA(INDEX(changes,MATCH(Inputs!A30,scen_var,0),MATCH(scenario,scen_chosen)),0)=0,F30,F30*(1+_xlfn.IFNA(INDEX(changes,MATCH(Inputs!A30,scen_var,0),MATCH(scenario,scen_chosen)),0)))</f>
        <v>0</v>
      </c>
      <c r="H30" s="18"/>
    </row>
    <row r="31" spans="1:8" x14ac:dyDescent="0.3">
      <c r="A31" t="s">
        <v>60</v>
      </c>
      <c r="B31" t="s">
        <v>21</v>
      </c>
      <c r="C31" s="34">
        <v>2</v>
      </c>
      <c r="D31" t="s">
        <v>22</v>
      </c>
      <c r="E31" s="35">
        <v>6</v>
      </c>
      <c r="F31" s="33">
        <v>50000</v>
      </c>
      <c r="G31" s="18">
        <f>IF(_xlfn.IFNA(INDEX(changes,MATCH(Inputs!A31,scen_var,0),MATCH(scenario,scen_chosen)),0)=0,F31,F31*(1+_xlfn.IFNA(INDEX(changes,MATCH(Inputs!A31,scen_var,0),MATCH(scenario,scen_chosen)),0)))</f>
        <v>50000</v>
      </c>
      <c r="H31" s="18"/>
    </row>
    <row r="32" spans="1:8" x14ac:dyDescent="0.3">
      <c r="A32" t="s">
        <v>61</v>
      </c>
      <c r="B32" t="s">
        <v>21</v>
      </c>
      <c r="C32" s="34">
        <v>9</v>
      </c>
      <c r="D32" t="s">
        <v>22</v>
      </c>
      <c r="E32" s="35">
        <v>13</v>
      </c>
      <c r="F32" s="33">
        <v>-50000</v>
      </c>
      <c r="G32" s="27">
        <f>IF(_xlfn.IFNA(INDEX(changes,MATCH(Inputs!A32,scen_var,0),MATCH(scenario,scen_chosen)),0)=0,F32,F32*(1+_xlfn.IFNA(INDEX(changes,MATCH(Inputs!A32,scen_var,0),MATCH(scenario,scen_chosen)),0)))</f>
        <v>-50000</v>
      </c>
      <c r="H32" s="18"/>
    </row>
    <row r="34" spans="1:17" x14ac:dyDescent="0.3">
      <c r="A34" s="11" t="s">
        <v>28</v>
      </c>
    </row>
    <row r="35" spans="1:17" x14ac:dyDescent="0.3">
      <c r="A35" t="s">
        <v>62</v>
      </c>
      <c r="B35" t="s">
        <v>21</v>
      </c>
      <c r="C35" s="34">
        <v>0</v>
      </c>
      <c r="D35" t="s">
        <v>22</v>
      </c>
      <c r="E35" s="35">
        <v>1</v>
      </c>
      <c r="F35" s="39">
        <v>0</v>
      </c>
      <c r="G35" s="12">
        <f>IF(_xlfn.IFNA(INDEX(changes,MATCH(Inputs!A35,scen_var,0),MATCH(scenario,scen_chosen)),0)=0,F35,F35*(1+_xlfn.IFNA(INDEX(changes,MATCH(Inputs!A35,scen_var,0),MATCH(scenario,scen_chosen)),0)))</f>
        <v>0</v>
      </c>
      <c r="H35" s="12"/>
    </row>
    <row r="36" spans="1:17" x14ac:dyDescent="0.3">
      <c r="A36" t="s">
        <v>63</v>
      </c>
      <c r="B36" t="s">
        <v>21</v>
      </c>
      <c r="C36" s="34">
        <v>2</v>
      </c>
      <c r="D36" t="s">
        <v>22</v>
      </c>
      <c r="E36" s="35">
        <v>13</v>
      </c>
      <c r="F36" s="42">
        <f>1/(E36-C36+2)</f>
        <v>7.6923076923076927E-2</v>
      </c>
      <c r="G36" s="12">
        <f>IF(_xlfn.IFNA(INDEX(changes,MATCH(Inputs!A36,scen_var,0),MATCH(scenario,scen_chosen)),0)=0,F36,F36*(1+_xlfn.IFNA(INDEX(changes,MATCH(Inputs!A36,scen_var,0),MATCH(scenario,scen_chosen)),0)))</f>
        <v>7.6923076923076927E-2</v>
      </c>
      <c r="H36" s="12"/>
    </row>
    <row r="39" spans="1:17" x14ac:dyDescent="0.3">
      <c r="B39">
        <v>0</v>
      </c>
      <c r="C39">
        <v>1</v>
      </c>
      <c r="D39">
        <v>2</v>
      </c>
      <c r="E39">
        <v>3</v>
      </c>
      <c r="F39">
        <v>4</v>
      </c>
      <c r="G39">
        <v>5</v>
      </c>
      <c r="H39">
        <v>6</v>
      </c>
      <c r="I39">
        <v>7</v>
      </c>
      <c r="J39">
        <v>8</v>
      </c>
      <c r="K39">
        <v>9</v>
      </c>
      <c r="L39">
        <v>10</v>
      </c>
      <c r="M39">
        <v>11</v>
      </c>
      <c r="N39">
        <v>12</v>
      </c>
      <c r="O39">
        <v>13</v>
      </c>
      <c r="P39">
        <v>14</v>
      </c>
    </row>
    <row r="40" spans="1:17" x14ac:dyDescent="0.3">
      <c r="A40" s="11" t="s">
        <v>39</v>
      </c>
    </row>
    <row r="41" spans="1:17" x14ac:dyDescent="0.3">
      <c r="A41" t="s">
        <v>20</v>
      </c>
      <c r="B41" s="13">
        <f ca="1">IF(AND(B$39&gt;=$C$25,B$39&lt;=$E$25),$G$25*$C$22,IF(AND(B$39&gt;=$C$26,B$39&lt;=$E$26),$G$26*$C$22,IF(AND(B$39&gt;=$C$27,B$39&lt;=$E$27),$G$27*$C$22,0)))</f>
        <v>0</v>
      </c>
      <c r="C41" s="13">
        <f t="shared" ref="C41:P41" ca="1" si="1">IF(AND(C$39&gt;=$C$25,C$39&lt;=$E$25),$G$25*$C$22,IF(AND(C$39&gt;=$C$26,C$39&lt;=$E$26),$G$26*$C$22,IF(AND(C$39&gt;=$C$27,C$39&lt;=$E$27),$G$27*$C$22,0)))</f>
        <v>0</v>
      </c>
      <c r="D41" s="13">
        <f t="shared" ca="1" si="1"/>
        <v>1465957.419546627</v>
      </c>
      <c r="E41" s="13">
        <f t="shared" ca="1" si="1"/>
        <v>1465957.419546627</v>
      </c>
      <c r="F41" s="13">
        <f t="shared" ca="1" si="1"/>
        <v>1465957.419546627</v>
      </c>
      <c r="G41" s="13">
        <f t="shared" ca="1" si="1"/>
        <v>1637231.4695100035</v>
      </c>
      <c r="H41" s="13">
        <f t="shared" ca="1" si="1"/>
        <v>1637231.4695100035</v>
      </c>
      <c r="I41" s="13">
        <f t="shared" ca="1" si="1"/>
        <v>1637231.4695100035</v>
      </c>
      <c r="J41" s="13">
        <f t="shared" ca="1" si="1"/>
        <v>1637231.4695100035</v>
      </c>
      <c r="K41" s="13">
        <f t="shared" ca="1" si="1"/>
        <v>1637231.4695100035</v>
      </c>
      <c r="L41" s="13">
        <f t="shared" ca="1" si="1"/>
        <v>1637231.4695100035</v>
      </c>
      <c r="M41" s="13">
        <f t="shared" ca="1" si="1"/>
        <v>1637231.4695100035</v>
      </c>
      <c r="N41" s="13">
        <f t="shared" ca="1" si="1"/>
        <v>1637231.4695100035</v>
      </c>
      <c r="O41" s="13">
        <f t="shared" ca="1" si="1"/>
        <v>1637231.4695100035</v>
      </c>
      <c r="P41" s="13">
        <f t="shared" si="1"/>
        <v>0</v>
      </c>
      <c r="Q41" s="13"/>
    </row>
    <row r="42" spans="1:17" ht="15" thickBot="1" x14ac:dyDescent="0.35">
      <c r="A42" s="14" t="s">
        <v>25</v>
      </c>
      <c r="B42" s="15">
        <f ca="1">IF(AND(B$39&gt;=$C$25,B$39&lt;=$E$25),$G$25*$C$23,IF(AND(B$39&gt;=$C$26,B$39&lt;=$E$26),$G$26*$C$23,IF(AND(B$39&gt;=$C$27,B$39&lt;=$E$27),$G$27*$C$23,0)))</f>
        <v>0</v>
      </c>
      <c r="C42" s="15">
        <f t="shared" ref="C42:P42" ca="1" si="2">IF(AND(C$39&gt;=$C$25,C$39&lt;=$E$25),$G$25*$C$23,IF(AND(C$39&gt;=$C$26,C$39&lt;=$E$26),$G$26*$C$23,IF(AND(C$39&gt;=$C$27,C$39&lt;=$E$27),$G$27*$C$23,0)))</f>
        <v>0</v>
      </c>
      <c r="D42" s="15">
        <f t="shared" ca="1" si="2"/>
        <v>-591976.80317684764</v>
      </c>
      <c r="E42" s="15">
        <f t="shared" ca="1" si="2"/>
        <v>-591976.80317684764</v>
      </c>
      <c r="F42" s="15">
        <f t="shared" ca="1" si="2"/>
        <v>-591976.80317684764</v>
      </c>
      <c r="G42" s="15">
        <f t="shared" ca="1" si="2"/>
        <v>-661139.97477553424</v>
      </c>
      <c r="H42" s="15">
        <f t="shared" ca="1" si="2"/>
        <v>-661139.97477553424</v>
      </c>
      <c r="I42" s="15">
        <f t="shared" ca="1" si="2"/>
        <v>-661139.97477553424</v>
      </c>
      <c r="J42" s="15">
        <f t="shared" ca="1" si="2"/>
        <v>-661139.97477553424</v>
      </c>
      <c r="K42" s="15">
        <f t="shared" ca="1" si="2"/>
        <v>-661139.97477553424</v>
      </c>
      <c r="L42" s="15">
        <f t="shared" ca="1" si="2"/>
        <v>-661139.97477553424</v>
      </c>
      <c r="M42" s="15">
        <f t="shared" ca="1" si="2"/>
        <v>-661139.97477553424</v>
      </c>
      <c r="N42" s="15">
        <f t="shared" ca="1" si="2"/>
        <v>-661139.97477553424</v>
      </c>
      <c r="O42" s="15">
        <f t="shared" ca="1" si="2"/>
        <v>-661139.97477553424</v>
      </c>
      <c r="P42" s="15">
        <f t="shared" si="2"/>
        <v>0</v>
      </c>
    </row>
    <row r="43" spans="1:17" ht="15" thickTop="1" x14ac:dyDescent="0.3">
      <c r="A43" t="s">
        <v>30</v>
      </c>
      <c r="B43" s="13">
        <f ca="1">SUM(B41:B42)</f>
        <v>0</v>
      </c>
      <c r="C43" s="13">
        <f t="shared" ref="C43:P43" ca="1" si="3">SUM(C41:C42)</f>
        <v>0</v>
      </c>
      <c r="D43" s="13">
        <f t="shared" ca="1" si="3"/>
        <v>873980.61636977934</v>
      </c>
      <c r="E43" s="13">
        <f t="shared" ca="1" si="3"/>
        <v>873980.61636977934</v>
      </c>
      <c r="F43" s="13">
        <f t="shared" ca="1" si="3"/>
        <v>873980.61636977934</v>
      </c>
      <c r="G43" s="13">
        <f t="shared" ca="1" si="3"/>
        <v>976091.49473446922</v>
      </c>
      <c r="H43" s="13">
        <f t="shared" ca="1" si="3"/>
        <v>976091.49473446922</v>
      </c>
      <c r="I43" s="13">
        <f t="shared" ca="1" si="3"/>
        <v>976091.49473446922</v>
      </c>
      <c r="J43" s="13">
        <f t="shared" ca="1" si="3"/>
        <v>976091.49473446922</v>
      </c>
      <c r="K43" s="13">
        <f t="shared" ca="1" si="3"/>
        <v>976091.49473446922</v>
      </c>
      <c r="L43" s="13">
        <f t="shared" ca="1" si="3"/>
        <v>976091.49473446922</v>
      </c>
      <c r="M43" s="13">
        <f t="shared" ca="1" si="3"/>
        <v>976091.49473446922</v>
      </c>
      <c r="N43" s="13">
        <f t="shared" ca="1" si="3"/>
        <v>976091.49473446922</v>
      </c>
      <c r="O43" s="13">
        <f t="shared" ca="1" si="3"/>
        <v>976091.49473446922</v>
      </c>
      <c r="P43" s="13">
        <f t="shared" si="3"/>
        <v>0</v>
      </c>
    </row>
    <row r="44" spans="1:17" ht="15" thickBot="1" x14ac:dyDescent="0.35">
      <c r="A44" s="14" t="s">
        <v>17</v>
      </c>
      <c r="B44" s="15">
        <f>IF(AND(B$39&gt;=$C$35,B$39&lt;=$E$35),$G$35*$C$14,IF(AND(B$39&gt;=$C$36,B$39&lt;=$E$36),$G$36*$C$14,IF(B39=MAX($B$39:$P$39),0,"")))</f>
        <v>0</v>
      </c>
      <c r="C44" s="15">
        <f t="shared" ref="C44:P44" si="4">IF(AND(C$39&gt;=$C$35,C$39&lt;=$E$35),$G$35*$C$14,IF(AND(C$39&gt;=$C$36,C$39&lt;=$E$36),$G$36*$C$14,IF(C39=MAX($B$39:$P$39),0,"")))</f>
        <v>0</v>
      </c>
      <c r="D44" s="15">
        <f>IF(AND(D$39&gt;=$C$35,D$39&lt;=$E$35),$G$35*$C$14,IF(AND(D$39&gt;=$C$36,D$39&lt;=$E$36),$G$36*$C$14,IF(D39=MAX($B$39:$P$39),0,"")))</f>
        <v>-769230.76923076925</v>
      </c>
      <c r="E44" s="15">
        <f t="shared" si="4"/>
        <v>-769230.76923076925</v>
      </c>
      <c r="F44" s="15">
        <f t="shared" si="4"/>
        <v>-769230.76923076925</v>
      </c>
      <c r="G44" s="15">
        <f t="shared" si="4"/>
        <v>-769230.76923076925</v>
      </c>
      <c r="H44" s="15">
        <f t="shared" si="4"/>
        <v>-769230.76923076925</v>
      </c>
      <c r="I44" s="15">
        <f t="shared" si="4"/>
        <v>-769230.76923076925</v>
      </c>
      <c r="J44" s="15">
        <f t="shared" si="4"/>
        <v>-769230.76923076925</v>
      </c>
      <c r="K44" s="15">
        <f t="shared" si="4"/>
        <v>-769230.76923076925</v>
      </c>
      <c r="L44" s="15">
        <f t="shared" si="4"/>
        <v>-769230.76923076925</v>
      </c>
      <c r="M44" s="15">
        <f t="shared" si="4"/>
        <v>-769230.76923076925</v>
      </c>
      <c r="N44" s="15">
        <f t="shared" si="4"/>
        <v>-769230.76923076925</v>
      </c>
      <c r="O44" s="15">
        <f t="shared" si="4"/>
        <v>-769230.76923076925</v>
      </c>
      <c r="P44" s="15">
        <f t="shared" si="4"/>
        <v>0</v>
      </c>
    </row>
    <row r="45" spans="1:17" ht="15" thickTop="1" x14ac:dyDescent="0.3">
      <c r="A45" t="s">
        <v>31</v>
      </c>
      <c r="B45" s="13">
        <f ca="1">SUM(B43:B44)</f>
        <v>0</v>
      </c>
      <c r="C45" s="13">
        <f t="shared" ref="C45:P45" ca="1" si="5">SUM(C43:C44)</f>
        <v>0</v>
      </c>
      <c r="D45" s="13">
        <f t="shared" ca="1" si="5"/>
        <v>104749.84713901009</v>
      </c>
      <c r="E45" s="13">
        <f t="shared" ca="1" si="5"/>
        <v>104749.84713901009</v>
      </c>
      <c r="F45" s="13">
        <f t="shared" ca="1" si="5"/>
        <v>104749.84713901009</v>
      </c>
      <c r="G45" s="13">
        <f t="shared" ca="1" si="5"/>
        <v>206860.72550369997</v>
      </c>
      <c r="H45" s="13">
        <f t="shared" ca="1" si="5"/>
        <v>206860.72550369997</v>
      </c>
      <c r="I45" s="13">
        <f t="shared" ca="1" si="5"/>
        <v>206860.72550369997</v>
      </c>
      <c r="J45" s="13">
        <f t="shared" ca="1" si="5"/>
        <v>206860.72550369997</v>
      </c>
      <c r="K45" s="13">
        <f t="shared" ca="1" si="5"/>
        <v>206860.72550369997</v>
      </c>
      <c r="L45" s="13">
        <f t="shared" ca="1" si="5"/>
        <v>206860.72550369997</v>
      </c>
      <c r="M45" s="13">
        <f t="shared" ca="1" si="5"/>
        <v>206860.72550369997</v>
      </c>
      <c r="N45" s="13">
        <f t="shared" ca="1" si="5"/>
        <v>206860.72550369997</v>
      </c>
      <c r="O45" s="13">
        <f t="shared" ca="1" si="5"/>
        <v>206860.72550369997</v>
      </c>
      <c r="P45" s="13">
        <f t="shared" si="5"/>
        <v>0</v>
      </c>
    </row>
    <row r="46" spans="1:17" ht="15" thickBot="1" x14ac:dyDescent="0.35">
      <c r="A46" s="14" t="s">
        <v>32</v>
      </c>
      <c r="B46" s="15">
        <f ca="1">B45*-$C$13</f>
        <v>0</v>
      </c>
      <c r="C46" s="15">
        <f t="shared" ref="C46:P46" ca="1" si="6">C45*-$C$13</f>
        <v>0</v>
      </c>
      <c r="D46" s="15">
        <f t="shared" ca="1" si="6"/>
        <v>-20949.969427802018</v>
      </c>
      <c r="E46" s="15">
        <f t="shared" ca="1" si="6"/>
        <v>-20949.969427802018</v>
      </c>
      <c r="F46" s="15">
        <f t="shared" ca="1" si="6"/>
        <v>-20949.969427802018</v>
      </c>
      <c r="G46" s="15">
        <f t="shared" ca="1" si="6"/>
        <v>-41372.145100739996</v>
      </c>
      <c r="H46" s="15">
        <f t="shared" ca="1" si="6"/>
        <v>-41372.145100739996</v>
      </c>
      <c r="I46" s="15">
        <f t="shared" ca="1" si="6"/>
        <v>-41372.145100739996</v>
      </c>
      <c r="J46" s="15">
        <f t="shared" ca="1" si="6"/>
        <v>-41372.145100739996</v>
      </c>
      <c r="K46" s="15">
        <f t="shared" ca="1" si="6"/>
        <v>-41372.145100739996</v>
      </c>
      <c r="L46" s="15">
        <f t="shared" ca="1" si="6"/>
        <v>-41372.145100739996</v>
      </c>
      <c r="M46" s="15">
        <f t="shared" ca="1" si="6"/>
        <v>-41372.145100739996</v>
      </c>
      <c r="N46" s="15">
        <f t="shared" ca="1" si="6"/>
        <v>-41372.145100739996</v>
      </c>
      <c r="O46" s="15">
        <f t="shared" ca="1" si="6"/>
        <v>-41372.145100739996</v>
      </c>
      <c r="P46" s="15">
        <f t="shared" si="6"/>
        <v>0</v>
      </c>
    </row>
    <row r="47" spans="1:17" ht="15" thickTop="1" x14ac:dyDescent="0.3">
      <c r="A47" t="s">
        <v>33</v>
      </c>
      <c r="B47" s="13">
        <f ca="1">SUM(B45:B46)</f>
        <v>0</v>
      </c>
      <c r="C47" s="13">
        <f t="shared" ref="C47:P47" ca="1" si="7">SUM(C45:C46)</f>
        <v>0</v>
      </c>
      <c r="D47" s="13">
        <f t="shared" ca="1" si="7"/>
        <v>83799.877711208072</v>
      </c>
      <c r="E47" s="13">
        <f t="shared" ca="1" si="7"/>
        <v>83799.877711208072</v>
      </c>
      <c r="F47" s="13">
        <f t="shared" ca="1" si="7"/>
        <v>83799.877711208072</v>
      </c>
      <c r="G47" s="13">
        <f t="shared" ca="1" si="7"/>
        <v>165488.58040295998</v>
      </c>
      <c r="H47" s="13">
        <f t="shared" ca="1" si="7"/>
        <v>165488.58040295998</v>
      </c>
      <c r="I47" s="13">
        <f t="shared" ca="1" si="7"/>
        <v>165488.58040295998</v>
      </c>
      <c r="J47" s="13">
        <f t="shared" ca="1" si="7"/>
        <v>165488.58040295998</v>
      </c>
      <c r="K47" s="13">
        <f t="shared" ca="1" si="7"/>
        <v>165488.58040295998</v>
      </c>
      <c r="L47" s="13">
        <f t="shared" ca="1" si="7"/>
        <v>165488.58040295998</v>
      </c>
      <c r="M47" s="13">
        <f t="shared" ca="1" si="7"/>
        <v>165488.58040295998</v>
      </c>
      <c r="N47" s="13">
        <f t="shared" ca="1" si="7"/>
        <v>165488.58040295998</v>
      </c>
      <c r="O47" s="13">
        <f t="shared" ca="1" si="7"/>
        <v>165488.58040295998</v>
      </c>
      <c r="P47" s="13">
        <f t="shared" si="7"/>
        <v>0</v>
      </c>
    </row>
    <row r="48" spans="1:17" x14ac:dyDescent="0.3">
      <c r="A48" s="11" t="s">
        <v>34</v>
      </c>
    </row>
    <row r="49" spans="1:16" x14ac:dyDescent="0.3">
      <c r="A49" t="s">
        <v>6</v>
      </c>
      <c r="B49" s="13">
        <f>IF(AND(B39&gt;=$B$19,B39&lt;=$D$19),$E$19,0)</f>
        <v>-5000000</v>
      </c>
      <c r="C49" s="13">
        <f t="shared" ref="C49:P49" si="8">IF(AND(C39&gt;=$B$19,C39&lt;=$D$19),$E$19,0)</f>
        <v>-5000000</v>
      </c>
      <c r="D49" s="13">
        <f t="shared" si="8"/>
        <v>0</v>
      </c>
      <c r="E49" s="13">
        <f t="shared" si="8"/>
        <v>0</v>
      </c>
      <c r="F49" s="13">
        <f t="shared" si="8"/>
        <v>0</v>
      </c>
      <c r="G49" s="13">
        <f t="shared" si="8"/>
        <v>0</v>
      </c>
      <c r="H49" s="13">
        <f t="shared" si="8"/>
        <v>0</v>
      </c>
      <c r="I49" s="13">
        <f t="shared" si="8"/>
        <v>0</v>
      </c>
      <c r="J49" s="13">
        <f t="shared" si="8"/>
        <v>0</v>
      </c>
      <c r="K49" s="13">
        <f t="shared" si="8"/>
        <v>0</v>
      </c>
      <c r="L49" s="13">
        <f t="shared" si="8"/>
        <v>0</v>
      </c>
      <c r="M49" s="13">
        <f t="shared" si="8"/>
        <v>0</v>
      </c>
      <c r="N49" s="13">
        <f t="shared" si="8"/>
        <v>0</v>
      </c>
      <c r="O49" s="13">
        <f t="shared" si="8"/>
        <v>0</v>
      </c>
      <c r="P49" s="13">
        <f t="shared" si="8"/>
        <v>0</v>
      </c>
    </row>
    <row r="50" spans="1:16" x14ac:dyDescent="0.3">
      <c r="A50" t="s">
        <v>35</v>
      </c>
      <c r="B50" s="13">
        <f>IF(AND(B$39&gt;=$C$30,B$39&lt;=$E$30),$G$30,IF(AND(B$39&gt;=$C$31,B$39&lt;=$E$31),$G$31,IF(AND(B$39&gt;=$C$32,B$39&lt;=$E$32),$G$32,0)))</f>
        <v>0</v>
      </c>
      <c r="C50" s="13">
        <f t="shared" ref="C50:P50" si="9">IF(AND(C$39&gt;=$C$30,C$39&lt;=$E$30),$G$30,IF(AND(C$39&gt;=$C$31,C$39&lt;=$E$31),$G$31,IF(AND(C$39&gt;=$C$32,C$39&lt;=$E$32),$G$32,0)))</f>
        <v>0</v>
      </c>
      <c r="D50" s="13">
        <f t="shared" si="9"/>
        <v>50000</v>
      </c>
      <c r="E50" s="13">
        <f t="shared" si="9"/>
        <v>50000</v>
      </c>
      <c r="F50" s="13">
        <f t="shared" si="9"/>
        <v>50000</v>
      </c>
      <c r="G50" s="13">
        <f t="shared" si="9"/>
        <v>50000</v>
      </c>
      <c r="H50" s="13">
        <f t="shared" si="9"/>
        <v>50000</v>
      </c>
      <c r="I50" s="13">
        <f t="shared" si="9"/>
        <v>0</v>
      </c>
      <c r="J50" s="13">
        <f t="shared" si="9"/>
        <v>0</v>
      </c>
      <c r="K50" s="13">
        <f t="shared" si="9"/>
        <v>-50000</v>
      </c>
      <c r="L50" s="13">
        <f t="shared" si="9"/>
        <v>-50000</v>
      </c>
      <c r="M50" s="13">
        <f t="shared" si="9"/>
        <v>-50000</v>
      </c>
      <c r="N50" s="13">
        <f t="shared" si="9"/>
        <v>-50000</v>
      </c>
      <c r="O50" s="13">
        <f t="shared" si="9"/>
        <v>-50000</v>
      </c>
      <c r="P50" s="13">
        <f t="shared" si="9"/>
        <v>0</v>
      </c>
    </row>
    <row r="51" spans="1:16" x14ac:dyDescent="0.3">
      <c r="A51" t="s">
        <v>40</v>
      </c>
      <c r="B51" s="13">
        <f>-B44</f>
        <v>0</v>
      </c>
      <c r="C51" s="13">
        <f>-C44</f>
        <v>0</v>
      </c>
      <c r="D51" s="13">
        <f t="shared" ref="D51:P51" si="10">-D44</f>
        <v>769230.76923076925</v>
      </c>
      <c r="E51" s="13">
        <f t="shared" si="10"/>
        <v>769230.76923076925</v>
      </c>
      <c r="F51" s="13">
        <f t="shared" si="10"/>
        <v>769230.76923076925</v>
      </c>
      <c r="G51" s="13">
        <f t="shared" si="10"/>
        <v>769230.76923076925</v>
      </c>
      <c r="H51" s="13">
        <f t="shared" si="10"/>
        <v>769230.76923076925</v>
      </c>
      <c r="I51" s="13">
        <f t="shared" si="10"/>
        <v>769230.76923076925</v>
      </c>
      <c r="J51" s="13">
        <f t="shared" si="10"/>
        <v>769230.76923076925</v>
      </c>
      <c r="K51" s="13">
        <f t="shared" si="10"/>
        <v>769230.76923076925</v>
      </c>
      <c r="L51" s="13">
        <f t="shared" si="10"/>
        <v>769230.76923076925</v>
      </c>
      <c r="M51" s="13">
        <f t="shared" si="10"/>
        <v>769230.76923076925</v>
      </c>
      <c r="N51" s="13">
        <f t="shared" si="10"/>
        <v>769230.76923076925</v>
      </c>
      <c r="O51" s="13">
        <f t="shared" si="10"/>
        <v>769230.76923076925</v>
      </c>
      <c r="P51" s="13">
        <f t="shared" si="10"/>
        <v>0</v>
      </c>
    </row>
    <row r="52" spans="1:16" x14ac:dyDescent="0.3">
      <c r="A52" t="s">
        <v>45</v>
      </c>
      <c r="B52" s="13">
        <f t="shared" ref="B52:P52" si="11">IF(B39=MAX(years),$C$16,0)</f>
        <v>0</v>
      </c>
      <c r="C52" s="13">
        <f t="shared" si="11"/>
        <v>0</v>
      </c>
      <c r="D52" s="13">
        <f t="shared" si="11"/>
        <v>0</v>
      </c>
      <c r="E52" s="13">
        <f t="shared" si="11"/>
        <v>0</v>
      </c>
      <c r="F52" s="13">
        <f t="shared" si="11"/>
        <v>0</v>
      </c>
      <c r="G52" s="13">
        <f t="shared" si="11"/>
        <v>0</v>
      </c>
      <c r="H52" s="13">
        <f t="shared" si="11"/>
        <v>0</v>
      </c>
      <c r="I52" s="13">
        <f t="shared" si="11"/>
        <v>0</v>
      </c>
      <c r="J52" s="13">
        <f t="shared" si="11"/>
        <v>0</v>
      </c>
      <c r="K52" s="13">
        <f t="shared" si="11"/>
        <v>0</v>
      </c>
      <c r="L52" s="13">
        <f t="shared" si="11"/>
        <v>0</v>
      </c>
      <c r="M52" s="13">
        <f t="shared" si="11"/>
        <v>0</v>
      </c>
      <c r="N52" s="13">
        <f t="shared" si="11"/>
        <v>0</v>
      </c>
      <c r="O52" s="13">
        <f t="shared" si="11"/>
        <v>0</v>
      </c>
      <c r="P52" s="13">
        <f t="shared" si="11"/>
        <v>769230.76923076995</v>
      </c>
    </row>
    <row r="53" spans="1:16" x14ac:dyDescent="0.3">
      <c r="A53" s="11" t="s">
        <v>36</v>
      </c>
      <c r="B53" s="13">
        <f ca="1">SUM(B47,B49:B52)</f>
        <v>-5000000</v>
      </c>
      <c r="C53" s="13">
        <f t="shared" ref="C53:P53" ca="1" si="12">SUM(C47,C49:C52)</f>
        <v>-5000000</v>
      </c>
      <c r="D53" s="13">
        <f t="shared" ca="1" si="12"/>
        <v>903030.64694197732</v>
      </c>
      <c r="E53" s="13">
        <f t="shared" ca="1" si="12"/>
        <v>903030.64694197732</v>
      </c>
      <c r="F53" s="13">
        <f t="shared" ca="1" si="12"/>
        <v>903030.64694197732</v>
      </c>
      <c r="G53" s="13">
        <f t="shared" ca="1" si="12"/>
        <v>984719.3496337292</v>
      </c>
      <c r="H53" s="13">
        <f t="shared" ca="1" si="12"/>
        <v>984719.3496337292</v>
      </c>
      <c r="I53" s="13">
        <f t="shared" ca="1" si="12"/>
        <v>934719.3496337292</v>
      </c>
      <c r="J53" s="13">
        <f t="shared" ca="1" si="12"/>
        <v>934719.3496337292</v>
      </c>
      <c r="K53" s="13">
        <f t="shared" ca="1" si="12"/>
        <v>884719.3496337292</v>
      </c>
      <c r="L53" s="13">
        <f t="shared" ca="1" si="12"/>
        <v>884719.3496337292</v>
      </c>
      <c r="M53" s="13">
        <f t="shared" ca="1" si="12"/>
        <v>884719.3496337292</v>
      </c>
      <c r="N53" s="13">
        <f t="shared" ca="1" si="12"/>
        <v>884719.3496337292</v>
      </c>
      <c r="O53" s="13">
        <f t="shared" ca="1" si="12"/>
        <v>884719.3496337292</v>
      </c>
      <c r="P53" s="13">
        <f t="shared" si="12"/>
        <v>769230.76923076995</v>
      </c>
    </row>
    <row r="54" spans="1:16" x14ac:dyDescent="0.3">
      <c r="B54" s="13"/>
      <c r="C54" s="13"/>
      <c r="D54" s="13"/>
      <c r="E54" s="13"/>
      <c r="F54" s="13"/>
      <c r="G54" s="13"/>
      <c r="H54" s="13"/>
      <c r="I54" s="13"/>
      <c r="J54" s="13"/>
      <c r="K54" s="13"/>
      <c r="L54" s="13"/>
      <c r="M54" s="13"/>
      <c r="N54" s="13"/>
      <c r="O54" s="13"/>
      <c r="P54" s="13"/>
    </row>
    <row r="55" spans="1:16" x14ac:dyDescent="0.3">
      <c r="A55" t="s">
        <v>37</v>
      </c>
      <c r="B55" s="13">
        <f ca="1">B53/((1+$C$11)^B39)</f>
        <v>-5000000</v>
      </c>
      <c r="C55" s="13">
        <f t="shared" ref="C55:P55" ca="1" si="13">C53/((1+$C$11)^C39)</f>
        <v>-4660888.3277476877</v>
      </c>
      <c r="D55" s="13">
        <f t="shared" ca="1" si="13"/>
        <v>784693.17655449477</v>
      </c>
      <c r="E55" s="13">
        <f t="shared" ca="1" si="13"/>
        <v>731473.45349321992</v>
      </c>
      <c r="F55" s="13">
        <f t="shared" ca="1" si="13"/>
        <v>681863.21628876787</v>
      </c>
      <c r="G55" s="13">
        <f t="shared" ca="1" si="13"/>
        <v>693116.02220428025</v>
      </c>
      <c r="H55" s="13">
        <f t="shared" ca="1" si="13"/>
        <v>646107.27553336718</v>
      </c>
      <c r="I55" s="13">
        <f t="shared" ca="1" si="13"/>
        <v>571705.12577058282</v>
      </c>
      <c r="J55" s="13">
        <f t="shared" ca="1" si="13"/>
        <v>532930.74952352652</v>
      </c>
      <c r="K55" s="13">
        <f t="shared" ca="1" si="13"/>
        <v>470212.06164291623</v>
      </c>
      <c r="L55" s="13">
        <f t="shared" ca="1" si="13"/>
        <v>438321.18193552882</v>
      </c>
      <c r="M55" s="13">
        <f t="shared" ca="1" si="13"/>
        <v>408593.21613757539</v>
      </c>
      <c r="N55" s="13">
        <f t="shared" ca="1" si="13"/>
        <v>380881.47037850256</v>
      </c>
      <c r="O55" s="13">
        <f t="shared" ca="1" si="13"/>
        <v>355049.19990850787</v>
      </c>
      <c r="P55" s="13">
        <f t="shared" ca="1" si="13"/>
        <v>287765.25352184731</v>
      </c>
    </row>
    <row r="56" spans="1:16" x14ac:dyDescent="0.3">
      <c r="A56" t="s">
        <v>38</v>
      </c>
      <c r="B56" s="13">
        <f ca="1">SUM($B$55:B55)</f>
        <v>-5000000</v>
      </c>
      <c r="C56" s="13">
        <f ca="1">SUM($B$55:C55)</f>
        <v>-9660888.3277476877</v>
      </c>
      <c r="D56" s="13">
        <f ca="1">SUM($B$55:D55)</f>
        <v>-8876195.1511931922</v>
      </c>
      <c r="E56" s="13">
        <f ca="1">SUM($B$55:E55)</f>
        <v>-8144721.6976999724</v>
      </c>
      <c r="F56" s="13">
        <f ca="1">SUM($B$55:F55)</f>
        <v>-7462858.4814112047</v>
      </c>
      <c r="G56" s="13">
        <f ca="1">SUM($B$55:G55)</f>
        <v>-6769742.4592069248</v>
      </c>
      <c r="H56" s="13">
        <f ca="1">SUM($B$55:H55)</f>
        <v>-6123635.1836735578</v>
      </c>
      <c r="I56" s="13">
        <f ca="1">SUM($B$55:I55)</f>
        <v>-5551930.057902975</v>
      </c>
      <c r="J56" s="13">
        <f ca="1">SUM($B$55:J55)</f>
        <v>-5018999.308379449</v>
      </c>
      <c r="K56" s="13">
        <f ca="1">SUM($B$55:K55)</f>
        <v>-4548787.246736533</v>
      </c>
      <c r="L56" s="13">
        <f ca="1">SUM($B$55:L55)</f>
        <v>-4110466.0648010042</v>
      </c>
      <c r="M56" s="13">
        <f ca="1">SUM($B$55:M55)</f>
        <v>-3701872.8486634288</v>
      </c>
      <c r="N56" s="13">
        <f ca="1">SUM($B$55:N55)</f>
        <v>-3320991.3782849261</v>
      </c>
      <c r="O56" s="13">
        <f ca="1">SUM($B$55:O55)</f>
        <v>-2965942.1783764181</v>
      </c>
      <c r="P56" s="13">
        <f ca="1">SUM($B$55:P55)</f>
        <v>-2678176.924854571</v>
      </c>
    </row>
    <row r="58" spans="1:16" x14ac:dyDescent="0.3">
      <c r="A58" t="s">
        <v>41</v>
      </c>
      <c r="B58" s="13">
        <f ca="1">B53+NPV($C$11,C53:P53)</f>
        <v>-2678176.9248545691</v>
      </c>
    </row>
    <row r="59" spans="1:16" x14ac:dyDescent="0.3">
      <c r="A59" t="s">
        <v>42</v>
      </c>
      <c r="B59" s="10">
        <f ca="1">IRR(B53:P53)</f>
        <v>2.2467382016633675E-2</v>
      </c>
    </row>
    <row r="60" spans="1:16" x14ac:dyDescent="0.3">
      <c r="A60" t="s">
        <v>43</v>
      </c>
      <c r="B60" s="6">
        <f ca="1">B58/-C14</f>
        <v>-0.26781769248545689</v>
      </c>
      <c r="C60" s="13"/>
      <c r="D60" s="13"/>
      <c r="E60" s="13"/>
      <c r="F60" s="13"/>
      <c r="G60" s="13"/>
      <c r="H60" s="13"/>
      <c r="I60" s="13"/>
      <c r="J60" s="13"/>
      <c r="K60" s="13"/>
      <c r="L60" s="13"/>
      <c r="M60" s="13"/>
      <c r="N60" s="13"/>
      <c r="O60" s="13"/>
    </row>
    <row r="61" spans="1:16" x14ac:dyDescent="0.3">
      <c r="A61" t="s">
        <v>44</v>
      </c>
      <c r="B61" s="16" t="e" cm="1">
        <f t="array" aca="1" ref="B61" ca="1">_xlfn.XLOOKUP(MIN(IF(B56:P56&gt;0,B56:P56)),B56:P56,B39:P39)</f>
        <v>#N/A</v>
      </c>
    </row>
  </sheetData>
  <dataValidations count="2">
    <dataValidation type="list" allowBlank="1" showInputMessage="1" showErrorMessage="1" sqref="C25:C27 E25:E27 C30:C32 E30:E32 C35:C36 E35:E36 B19 D19" xr:uid="{65CF43AD-EE73-4860-97EF-D18CB1DAB5BB}">
      <formula1>years</formula1>
    </dataValidation>
    <dataValidation type="list" allowBlank="1" showInputMessage="1" showErrorMessage="1" sqref="B25:B27 D25:D27 B30:B32 D30:D32 B35:B36 D35:D36 A19 C19" xr:uid="{4A7ED2FC-D668-4D31-B3E5-8D5C918C5F79}">
      <formula1>period</formula1>
    </dataValidation>
  </dataValidations>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1574E-6783-4009-A92D-490FAA6A4D39}">
  <sheetPr codeName="Sheet9">
    <tabColor theme="1"/>
  </sheetPr>
  <dimension ref="A1:Q1001"/>
  <sheetViews>
    <sheetView zoomScale="85" zoomScaleNormal="85" workbookViewId="0">
      <selection activeCell="Q5" sqref="Q5"/>
    </sheetView>
  </sheetViews>
  <sheetFormatPr defaultRowHeight="14.4" x14ac:dyDescent="0.3"/>
  <cols>
    <col min="2" max="2" width="9.88671875" bestFit="1" customWidth="1"/>
    <col min="3" max="3" width="8.88671875" customWidth="1"/>
    <col min="4" max="4" width="9.88671875" customWidth="1"/>
    <col min="7" max="7" width="9.6640625" customWidth="1"/>
    <col min="12" max="12" width="16.33203125" customWidth="1"/>
    <col min="13" max="13" width="13.33203125" customWidth="1"/>
  </cols>
  <sheetData>
    <row r="1" spans="1:17" x14ac:dyDescent="0.3">
      <c r="A1" t="s">
        <v>81</v>
      </c>
      <c r="B1" t="s">
        <v>77</v>
      </c>
      <c r="C1" t="s">
        <v>83</v>
      </c>
      <c r="D1" t="s">
        <v>84</v>
      </c>
      <c r="E1" t="s">
        <v>85</v>
      </c>
      <c r="F1" t="s">
        <v>86</v>
      </c>
      <c r="G1" t="s">
        <v>87</v>
      </c>
      <c r="L1" s="59">
        <f>COUNTA(B2:B1001)-COUNTBLANK(B2:B1001)+1</f>
        <v>102</v>
      </c>
      <c r="M1" s="28" t="s">
        <v>77</v>
      </c>
    </row>
    <row r="2" spans="1:17" x14ac:dyDescent="0.3">
      <c r="A2">
        <f>IF('Output Report'!$H$71+2&gt;ROW(A1),ROW(A1),0)</f>
        <v>1</v>
      </c>
      <c r="B2">
        <f>IF(A2&gt;0,MC_hist!M9,"")</f>
        <v>-10000000</v>
      </c>
      <c r="C2">
        <f>IF(A3&gt;0,COUNTIFS(data_sim,"&gt;"&amp;B2,data_sim,"&lt;="&amp;B3),"")</f>
        <v>0</v>
      </c>
      <c r="D2" s="45">
        <f>IF(A3&gt;0,C2/'Output Report'!$H$70,"")</f>
        <v>0</v>
      </c>
      <c r="E2" s="46">
        <f>IF(A3&gt;0,SUM($D$2:D2),"")</f>
        <v>0</v>
      </c>
      <c r="F2">
        <f>IF(B2&lt;=0,D2,"")</f>
        <v>0</v>
      </c>
      <c r="G2">
        <f>IF(B2&lt;=0,E2,"")</f>
        <v>0</v>
      </c>
    </row>
    <row r="3" spans="1:17" x14ac:dyDescent="0.3">
      <c r="A3">
        <f>IF('Output Report'!$H$71+2&gt;ROW(A2),ROW(A2),0)</f>
        <v>2</v>
      </c>
      <c r="B3">
        <f>IF(AND(A3&gt;0,A3&lt;='Output Report'!$H$71+1),B2+MC_hist!$M$11/'Output Report'!$H$71,"")</f>
        <v>-9700000</v>
      </c>
      <c r="C3">
        <f t="shared" ref="C3:C65" si="0">IF(A4&gt;0,COUNTIFS(data_sim,"&gt;"&amp;B3,data_sim,"&lt;="&amp;B4),"")</f>
        <v>0</v>
      </c>
      <c r="D3" s="45">
        <f>IF(A4&gt;0,C3/'Output Report'!$H$70,"")</f>
        <v>0</v>
      </c>
      <c r="E3" s="46">
        <f>IF(A4&gt;0,SUM($D$2:D3),"")</f>
        <v>0</v>
      </c>
      <c r="F3">
        <f t="shared" ref="F3:F66" si="1">IF(B3&lt;=0,D3,"")</f>
        <v>0</v>
      </c>
      <c r="G3">
        <f t="shared" ref="G3:G66" si="2">IF(B3&lt;=0,E3,"")</f>
        <v>0</v>
      </c>
    </row>
    <row r="4" spans="1:17" x14ac:dyDescent="0.3">
      <c r="A4">
        <f>IF('Output Report'!$H$71+2&gt;ROW(A3),ROW(A3),0)</f>
        <v>3</v>
      </c>
      <c r="B4">
        <f>IF(AND(A4&gt;0,A4&lt;='Output Report'!$H$71+1),B3+MC_hist!$M$11/'Output Report'!$H$71,"")</f>
        <v>-9400000</v>
      </c>
      <c r="C4">
        <f t="shared" si="0"/>
        <v>0</v>
      </c>
      <c r="D4" s="45">
        <f>IF(A5&gt;0,C4/'Output Report'!$H$70,"")</f>
        <v>0</v>
      </c>
      <c r="E4" s="46">
        <f>IF(A5&gt;0,SUM($D$2:D4),"")</f>
        <v>0</v>
      </c>
      <c r="F4">
        <f t="shared" si="1"/>
        <v>0</v>
      </c>
      <c r="G4">
        <f t="shared" si="2"/>
        <v>0</v>
      </c>
      <c r="L4" s="11" t="s">
        <v>75</v>
      </c>
    </row>
    <row r="5" spans="1:17" x14ac:dyDescent="0.3">
      <c r="A5">
        <f>IF('Output Report'!$H$71+2&gt;ROW(A4),ROW(A4),0)</f>
        <v>4</v>
      </c>
      <c r="B5">
        <f>IF(AND(A5&gt;0,A5&lt;='Output Report'!$H$71+1),B4+MC_hist!$M$11/'Output Report'!$H$71,"")</f>
        <v>-9100000</v>
      </c>
      <c r="C5">
        <f t="shared" si="0"/>
        <v>0</v>
      </c>
      <c r="D5" s="45">
        <f>IF(A6&gt;0,C5/'Output Report'!$H$70,"")</f>
        <v>0</v>
      </c>
      <c r="E5" s="46">
        <f>IF(A6&gt;0,SUM($D$2:D5),"")</f>
        <v>0</v>
      </c>
      <c r="F5">
        <f t="shared" si="1"/>
        <v>0</v>
      </c>
      <c r="G5">
        <f t="shared" si="2"/>
        <v>0</v>
      </c>
      <c r="L5" s="28" t="s">
        <v>69</v>
      </c>
      <c r="M5" s="47">
        <f>MIN(data_sim)</f>
        <v>-6336696.2922</v>
      </c>
      <c r="Q5" cm="1">
        <f t="array" aca="1" ref="Q5:Q105" ca="1">OFFSET(MC_hist!$F$1,1,0,MC_hist!$L$1-1,1)</f>
        <v>0</v>
      </c>
    </row>
    <row r="6" spans="1:17" x14ac:dyDescent="0.3">
      <c r="A6">
        <f>IF('Output Report'!$H$71+2&gt;ROW(A5),ROW(A5),0)</f>
        <v>5</v>
      </c>
      <c r="B6">
        <f>IF(AND(A6&gt;0,A6&lt;='Output Report'!$H$71+1),B5+MC_hist!$M$11/'Output Report'!$H$71,"")</f>
        <v>-8800000</v>
      </c>
      <c r="C6">
        <f t="shared" si="0"/>
        <v>0</v>
      </c>
      <c r="D6" s="45">
        <f>IF(A7&gt;0,C6/'Output Report'!$H$70,"")</f>
        <v>0</v>
      </c>
      <c r="E6" s="46">
        <f>IF(A7&gt;0,SUM($D$2:D6),"")</f>
        <v>0</v>
      </c>
      <c r="F6">
        <f t="shared" si="1"/>
        <v>0</v>
      </c>
      <c r="G6">
        <f t="shared" si="2"/>
        <v>0</v>
      </c>
      <c r="L6" s="28" t="s">
        <v>70</v>
      </c>
      <c r="M6" s="47">
        <f>MAX(data_sim)</f>
        <v>18924675.541200001</v>
      </c>
      <c r="Q6">
        <f ca="1"/>
        <v>0</v>
      </c>
    </row>
    <row r="7" spans="1:17" x14ac:dyDescent="0.3">
      <c r="A7">
        <f>IF('Output Report'!$H$71+2&gt;ROW(A6),ROW(A6),0)</f>
        <v>6</v>
      </c>
      <c r="B7">
        <f>IF(AND(A7&gt;0,A7&lt;='Output Report'!$H$71+1),B6+MC_hist!$M$11/'Output Report'!$H$71,"")</f>
        <v>-8500000</v>
      </c>
      <c r="C7">
        <f t="shared" si="0"/>
        <v>0</v>
      </c>
      <c r="D7" s="45">
        <f>IF(A8&gt;0,C7/'Output Report'!$H$70,"")</f>
        <v>0</v>
      </c>
      <c r="E7" s="46">
        <f>IF(A8&gt;0,SUM($D$2:D7),"")</f>
        <v>0</v>
      </c>
      <c r="F7">
        <f t="shared" si="1"/>
        <v>0</v>
      </c>
      <c r="G7">
        <f t="shared" si="2"/>
        <v>0</v>
      </c>
      <c r="L7" s="28" t="s">
        <v>77</v>
      </c>
      <c r="M7" s="47">
        <f>M6-M5</f>
        <v>25261371.8334</v>
      </c>
      <c r="Q7">
        <f ca="1"/>
        <v>0</v>
      </c>
    </row>
    <row r="8" spans="1:17" x14ac:dyDescent="0.3">
      <c r="A8">
        <f>IF('Output Report'!$H$71+2&gt;ROW(A7),ROW(A7),0)</f>
        <v>7</v>
      </c>
      <c r="B8">
        <f>IF(AND(A8&gt;0,A8&lt;='Output Report'!$H$71+1),B7+MC_hist!$M$11/'Output Report'!$H$71,"")</f>
        <v>-8200000</v>
      </c>
      <c r="C8">
        <f t="shared" si="0"/>
        <v>0</v>
      </c>
      <c r="D8" s="45">
        <f>IF(A9&gt;0,C8/'Output Report'!$H$70,"")</f>
        <v>0</v>
      </c>
      <c r="E8" s="46">
        <f>IF(A9&gt;0,SUM($D$2:D8),"")</f>
        <v>0</v>
      </c>
      <c r="F8">
        <f t="shared" si="1"/>
        <v>0</v>
      </c>
      <c r="G8">
        <f t="shared" si="2"/>
        <v>0</v>
      </c>
      <c r="L8" s="28" t="s">
        <v>76</v>
      </c>
      <c r="M8" s="47">
        <f>10^(LEN(ROUND(M5,0))-1)</f>
        <v>10000000</v>
      </c>
      <c r="Q8">
        <f ca="1"/>
        <v>0</v>
      </c>
    </row>
    <row r="9" spans="1:17" x14ac:dyDescent="0.3">
      <c r="A9">
        <f>IF('Output Report'!$H$71+2&gt;ROW(A8),ROW(A8),0)</f>
        <v>8</v>
      </c>
      <c r="B9">
        <f>IF(AND(A9&gt;0,A9&lt;='Output Report'!$H$71+1),B8+MC_hist!$M$11/'Output Report'!$H$71,"")</f>
        <v>-7900000</v>
      </c>
      <c r="C9">
        <f t="shared" si="0"/>
        <v>0</v>
      </c>
      <c r="D9" s="45">
        <f>IF(A10&gt;0,C9/'Output Report'!$H$70,"")</f>
        <v>0</v>
      </c>
      <c r="E9" s="46">
        <f>IF(A10&gt;0,SUM($D$2:D9),"")</f>
        <v>0</v>
      </c>
      <c r="F9">
        <f t="shared" si="1"/>
        <v>0</v>
      </c>
      <c r="G9">
        <f t="shared" si="2"/>
        <v>0</v>
      </c>
      <c r="L9" s="28" t="s">
        <v>78</v>
      </c>
      <c r="M9" s="47">
        <f>IF(M5&lt;0,ROUNDUP(M5/M8,0)*M8,ROUNDDOWN(M5/M8,0)*M8)</f>
        <v>-10000000</v>
      </c>
      <c r="Q9">
        <f ca="1"/>
        <v>0</v>
      </c>
    </row>
    <row r="10" spans="1:17" x14ac:dyDescent="0.3">
      <c r="A10">
        <f>IF('Output Report'!$H$71+2&gt;ROW(A9),ROW(A9),0)</f>
        <v>9</v>
      </c>
      <c r="B10">
        <f>IF(AND(A10&gt;0,A10&lt;='Output Report'!$H$71+1),B9+MC_hist!$M$11/'Output Report'!$H$71,"")</f>
        <v>-7600000</v>
      </c>
      <c r="C10">
        <f t="shared" si="0"/>
        <v>0</v>
      </c>
      <c r="D10" s="45">
        <f>IF(A11&gt;0,C10/'Output Report'!$H$70,"")</f>
        <v>0</v>
      </c>
      <c r="E10" s="46">
        <f>IF(A11&gt;0,SUM($D$2:D10),"")</f>
        <v>0</v>
      </c>
      <c r="F10">
        <f t="shared" si="1"/>
        <v>0</v>
      </c>
      <c r="G10">
        <f t="shared" si="2"/>
        <v>0</v>
      </c>
      <c r="L10" s="28" t="s">
        <v>79</v>
      </c>
      <c r="M10" s="47">
        <f>IF(M6&lt;0,ROUNDDOWN(M6/M8,0)*M8,ROUNDUP(M6/M8,0)*M8)</f>
        <v>20000000</v>
      </c>
      <c r="Q10">
        <f ca="1"/>
        <v>0</v>
      </c>
    </row>
    <row r="11" spans="1:17" x14ac:dyDescent="0.3">
      <c r="A11">
        <f>IF('Output Report'!$H$71+2&gt;ROW(A10),ROW(A10),0)</f>
        <v>10</v>
      </c>
      <c r="B11">
        <f>IF(AND(A11&gt;0,A11&lt;='Output Report'!$H$71+1),B10+MC_hist!$M$11/'Output Report'!$H$71,"")</f>
        <v>-7300000</v>
      </c>
      <c r="C11">
        <f t="shared" si="0"/>
        <v>0</v>
      </c>
      <c r="D11" s="45">
        <f>IF(A12&gt;0,C11/'Output Report'!$H$70,"")</f>
        <v>0</v>
      </c>
      <c r="E11" s="46">
        <f>IF(A12&gt;0,SUM($D$2:D11),"")</f>
        <v>0</v>
      </c>
      <c r="F11">
        <f t="shared" si="1"/>
        <v>0</v>
      </c>
      <c r="G11">
        <f t="shared" si="2"/>
        <v>0</v>
      </c>
      <c r="L11" s="28" t="s">
        <v>82</v>
      </c>
      <c r="M11" s="47">
        <f>M10-M9</f>
        <v>30000000</v>
      </c>
      <c r="Q11">
        <f ca="1"/>
        <v>0</v>
      </c>
    </row>
    <row r="12" spans="1:17" x14ac:dyDescent="0.3">
      <c r="A12">
        <f>IF('Output Report'!$H$71+2&gt;ROW(A11),ROW(A11),0)</f>
        <v>11</v>
      </c>
      <c r="B12">
        <f>IF(AND(A12&gt;0,A12&lt;='Output Report'!$H$71+1),B11+MC_hist!$M$11/'Output Report'!$H$71,"")</f>
        <v>-7000000</v>
      </c>
      <c r="C12">
        <f t="shared" si="0"/>
        <v>0</v>
      </c>
      <c r="D12" s="45">
        <f>IF(A13&gt;0,C12/'Output Report'!$H$70,"")</f>
        <v>0</v>
      </c>
      <c r="E12" s="46">
        <f>IF(A13&gt;0,SUM($D$2:D12),"")</f>
        <v>0</v>
      </c>
      <c r="F12">
        <f t="shared" si="1"/>
        <v>0</v>
      </c>
      <c r="G12">
        <f t="shared" si="2"/>
        <v>0</v>
      </c>
      <c r="Q12">
        <f ca="1"/>
        <v>0</v>
      </c>
    </row>
    <row r="13" spans="1:17" x14ac:dyDescent="0.3">
      <c r="A13">
        <f>IF('Output Report'!$H$71+2&gt;ROW(A12),ROW(A12),0)</f>
        <v>12</v>
      </c>
      <c r="B13">
        <f>IF(AND(A13&gt;0,A13&lt;='Output Report'!$H$71+1),B12+MC_hist!$M$11/'Output Report'!$H$71,"")</f>
        <v>-6700000</v>
      </c>
      <c r="C13">
        <f t="shared" si="0"/>
        <v>0</v>
      </c>
      <c r="D13" s="45">
        <f>IF(A14&gt;0,C13/'Output Report'!$H$70,"")</f>
        <v>0</v>
      </c>
      <c r="E13" s="46">
        <f>IF(A14&gt;0,SUM($D$2:D13),"")</f>
        <v>0</v>
      </c>
      <c r="F13">
        <f t="shared" si="1"/>
        <v>0</v>
      </c>
      <c r="G13">
        <f t="shared" si="2"/>
        <v>0</v>
      </c>
      <c r="Q13">
        <f ca="1"/>
        <v>0</v>
      </c>
    </row>
    <row r="14" spans="1:17" x14ac:dyDescent="0.3">
      <c r="A14">
        <f>IF('Output Report'!$H$71+2&gt;ROW(A13),ROW(A13),0)</f>
        <v>13</v>
      </c>
      <c r="B14">
        <f>IF(AND(A14&gt;0,A14&lt;='Output Report'!$H$71+1),B13+MC_hist!$M$11/'Output Report'!$H$71,"")</f>
        <v>-6400000</v>
      </c>
      <c r="C14">
        <f t="shared" si="0"/>
        <v>1</v>
      </c>
      <c r="D14" s="45">
        <f>IF(A15&gt;0,C14/'Output Report'!$H$70,"")</f>
        <v>1E-3</v>
      </c>
      <c r="E14" s="46">
        <f>IF(A15&gt;0,SUM($D$2:D14),"")</f>
        <v>1E-3</v>
      </c>
      <c r="F14">
        <f>IF(B14&lt;=0,D14,"")</f>
        <v>1E-3</v>
      </c>
      <c r="G14">
        <f t="shared" si="2"/>
        <v>1E-3</v>
      </c>
      <c r="Q14">
        <f ca="1"/>
        <v>0</v>
      </c>
    </row>
    <row r="15" spans="1:17" x14ac:dyDescent="0.3">
      <c r="A15">
        <f>IF('Output Report'!$H$71+2&gt;ROW(A14),ROW(A14),0)</f>
        <v>14</v>
      </c>
      <c r="B15">
        <f>IF(AND(A15&gt;0,A15&lt;='Output Report'!$H$71+1),B14+MC_hist!$M$11/'Output Report'!$H$71,"")</f>
        <v>-6100000</v>
      </c>
      <c r="C15">
        <f t="shared" si="0"/>
        <v>2</v>
      </c>
      <c r="D15" s="45">
        <f>IF(A16&gt;0,C15/'Output Report'!$H$70,"")</f>
        <v>2E-3</v>
      </c>
      <c r="E15" s="46">
        <f>IF(A16&gt;0,SUM($D$2:D15),"")</f>
        <v>3.0000000000000001E-3</v>
      </c>
      <c r="F15">
        <f t="shared" si="1"/>
        <v>2E-3</v>
      </c>
      <c r="G15">
        <f t="shared" si="2"/>
        <v>3.0000000000000001E-3</v>
      </c>
      <c r="Q15">
        <f ca="1"/>
        <v>0</v>
      </c>
    </row>
    <row r="16" spans="1:17" x14ac:dyDescent="0.3">
      <c r="A16">
        <f>IF('Output Report'!$H$71+2&gt;ROW(A15),ROW(A15),0)</f>
        <v>15</v>
      </c>
      <c r="B16">
        <f>IF(AND(A16&gt;0,A16&lt;='Output Report'!$H$71+1),B15+MC_hist!$M$11/'Output Report'!$H$71,"")</f>
        <v>-5800000</v>
      </c>
      <c r="C16">
        <f t="shared" si="0"/>
        <v>6</v>
      </c>
      <c r="D16" s="45">
        <f>IF(A17&gt;0,C16/'Output Report'!$H$70,"")</f>
        <v>6.0000000000000001E-3</v>
      </c>
      <c r="E16" s="46">
        <f>IF(A17&gt;0,SUM($D$2:D16),"")</f>
        <v>9.0000000000000011E-3</v>
      </c>
      <c r="F16">
        <f t="shared" si="1"/>
        <v>6.0000000000000001E-3</v>
      </c>
      <c r="G16">
        <f t="shared" si="2"/>
        <v>9.0000000000000011E-3</v>
      </c>
      <c r="Q16">
        <f ca="1"/>
        <v>0</v>
      </c>
    </row>
    <row r="17" spans="1:17" x14ac:dyDescent="0.3">
      <c r="A17">
        <f>IF('Output Report'!$H$71+2&gt;ROW(A16),ROW(A16),0)</f>
        <v>16</v>
      </c>
      <c r="B17">
        <f>IF(AND(A17&gt;0,A17&lt;='Output Report'!$H$71+1),B16+MC_hist!$M$11/'Output Report'!$H$71,"")</f>
        <v>-5500000</v>
      </c>
      <c r="C17">
        <f t="shared" si="0"/>
        <v>7</v>
      </c>
      <c r="D17" s="45">
        <f>IF(A18&gt;0,C17/'Output Report'!$H$70,"")</f>
        <v>7.0000000000000001E-3</v>
      </c>
      <c r="E17" s="46">
        <f>IF(A18&gt;0,SUM($D$2:D17),"")</f>
        <v>1.6E-2</v>
      </c>
      <c r="F17">
        <f t="shared" si="1"/>
        <v>7.0000000000000001E-3</v>
      </c>
      <c r="G17">
        <f t="shared" si="2"/>
        <v>1.6E-2</v>
      </c>
      <c r="Q17">
        <f ca="1"/>
        <v>1E-3</v>
      </c>
    </row>
    <row r="18" spans="1:17" x14ac:dyDescent="0.3">
      <c r="A18">
        <f>IF('Output Report'!$H$71+2&gt;ROW(A17),ROW(A17),0)</f>
        <v>17</v>
      </c>
      <c r="B18">
        <f>IF(AND(A18&gt;0,A18&lt;='Output Report'!$H$71+1),B17+MC_hist!$M$11/'Output Report'!$H$71,"")</f>
        <v>-5200000</v>
      </c>
      <c r="C18">
        <f t="shared" si="0"/>
        <v>9</v>
      </c>
      <c r="D18" s="45">
        <f>IF(A19&gt;0,C18/'Output Report'!$H$70,"")</f>
        <v>8.9999999999999993E-3</v>
      </c>
      <c r="E18" s="46">
        <f>IF(A19&gt;0,SUM($D$2:D18),"")</f>
        <v>2.5000000000000001E-2</v>
      </c>
      <c r="F18">
        <f t="shared" si="1"/>
        <v>8.9999999999999993E-3</v>
      </c>
      <c r="G18">
        <f t="shared" si="2"/>
        <v>2.5000000000000001E-2</v>
      </c>
      <c r="Q18">
        <f ca="1"/>
        <v>2E-3</v>
      </c>
    </row>
    <row r="19" spans="1:17" x14ac:dyDescent="0.3">
      <c r="A19">
        <f>IF('Output Report'!$H$71+2&gt;ROW(A18),ROW(A18),0)</f>
        <v>18</v>
      </c>
      <c r="B19">
        <f>IF(AND(A19&gt;0,A19&lt;='Output Report'!$H$71+1),B18+MC_hist!$M$11/'Output Report'!$H$71,"")</f>
        <v>-4900000</v>
      </c>
      <c r="C19">
        <f t="shared" si="0"/>
        <v>12</v>
      </c>
      <c r="D19" s="45">
        <f>IF(A20&gt;0,C19/'Output Report'!$H$70,"")</f>
        <v>1.2E-2</v>
      </c>
      <c r="E19" s="46">
        <f>IF(A20&gt;0,SUM($D$2:D19),"")</f>
        <v>3.7000000000000005E-2</v>
      </c>
      <c r="F19">
        <f t="shared" si="1"/>
        <v>1.2E-2</v>
      </c>
      <c r="G19">
        <f t="shared" si="2"/>
        <v>3.7000000000000005E-2</v>
      </c>
      <c r="Q19">
        <f ca="1"/>
        <v>6.0000000000000001E-3</v>
      </c>
    </row>
    <row r="20" spans="1:17" x14ac:dyDescent="0.3">
      <c r="A20">
        <f>IF('Output Report'!$H$71+2&gt;ROW(A19),ROW(A19),0)</f>
        <v>19</v>
      </c>
      <c r="B20">
        <f>IF(AND(A20&gt;0,A20&lt;='Output Report'!$H$71+1),B19+MC_hist!$M$11/'Output Report'!$H$71,"")</f>
        <v>-4600000</v>
      </c>
      <c r="C20">
        <f t="shared" si="0"/>
        <v>11</v>
      </c>
      <c r="D20" s="45">
        <f>IF(A21&gt;0,C20/'Output Report'!$H$70,"")</f>
        <v>1.0999999999999999E-2</v>
      </c>
      <c r="E20" s="46">
        <f>IF(A21&gt;0,SUM($D$2:D20),"")</f>
        <v>4.8000000000000001E-2</v>
      </c>
      <c r="F20">
        <f t="shared" si="1"/>
        <v>1.0999999999999999E-2</v>
      </c>
      <c r="G20">
        <f t="shared" si="2"/>
        <v>4.8000000000000001E-2</v>
      </c>
      <c r="Q20">
        <f ca="1"/>
        <v>7.0000000000000001E-3</v>
      </c>
    </row>
    <row r="21" spans="1:17" x14ac:dyDescent="0.3">
      <c r="A21">
        <f>IF('Output Report'!$H$71+2&gt;ROW(A20),ROW(A20),0)</f>
        <v>20</v>
      </c>
      <c r="B21">
        <f>IF(AND(A21&gt;0,A21&lt;='Output Report'!$H$71+1),B20+MC_hist!$M$11/'Output Report'!$H$71,"")</f>
        <v>-4300000</v>
      </c>
      <c r="C21">
        <f t="shared" si="0"/>
        <v>8</v>
      </c>
      <c r="D21" s="45">
        <f>IF(A22&gt;0,C21/'Output Report'!$H$70,"")</f>
        <v>8.0000000000000002E-3</v>
      </c>
      <c r="E21" s="46">
        <f>IF(A22&gt;0,SUM($D$2:D21),"")</f>
        <v>5.6000000000000001E-2</v>
      </c>
      <c r="F21">
        <f t="shared" si="1"/>
        <v>8.0000000000000002E-3</v>
      </c>
      <c r="G21">
        <f t="shared" si="2"/>
        <v>5.6000000000000001E-2</v>
      </c>
      <c r="Q21">
        <f ca="1"/>
        <v>8.9999999999999993E-3</v>
      </c>
    </row>
    <row r="22" spans="1:17" x14ac:dyDescent="0.3">
      <c r="A22">
        <f>IF('Output Report'!$H$71+2&gt;ROW(A21),ROW(A21),0)</f>
        <v>21</v>
      </c>
      <c r="B22">
        <f>IF(AND(A22&gt;0,A22&lt;='Output Report'!$H$71+1),B21+MC_hist!$M$11/'Output Report'!$H$71,"")</f>
        <v>-4000000</v>
      </c>
      <c r="C22">
        <f t="shared" si="0"/>
        <v>19</v>
      </c>
      <c r="D22" s="45">
        <f>IF(A23&gt;0,C22/'Output Report'!$H$70,"")</f>
        <v>1.9E-2</v>
      </c>
      <c r="E22" s="46">
        <f>IF(A23&gt;0,SUM($D$2:D22),"")</f>
        <v>7.4999999999999997E-2</v>
      </c>
      <c r="F22">
        <f t="shared" si="1"/>
        <v>1.9E-2</v>
      </c>
      <c r="G22">
        <f t="shared" si="2"/>
        <v>7.4999999999999997E-2</v>
      </c>
      <c r="Q22">
        <f ca="1"/>
        <v>1.2E-2</v>
      </c>
    </row>
    <row r="23" spans="1:17" x14ac:dyDescent="0.3">
      <c r="A23">
        <f>IF('Output Report'!$H$71+2&gt;ROW(A22),ROW(A22),0)</f>
        <v>22</v>
      </c>
      <c r="B23">
        <f>IF(AND(A23&gt;0,A23&lt;='Output Report'!$H$71+1),B22+MC_hist!$M$11/'Output Report'!$H$71,"")</f>
        <v>-3700000</v>
      </c>
      <c r="C23">
        <f t="shared" si="0"/>
        <v>14</v>
      </c>
      <c r="D23" s="45">
        <f>IF(A24&gt;0,C23/'Output Report'!$H$70,"")</f>
        <v>1.4E-2</v>
      </c>
      <c r="E23" s="46">
        <f>IF(A24&gt;0,SUM($D$2:D23),"")</f>
        <v>8.8999999999999996E-2</v>
      </c>
      <c r="F23">
        <f t="shared" si="1"/>
        <v>1.4E-2</v>
      </c>
      <c r="G23">
        <f t="shared" si="2"/>
        <v>8.8999999999999996E-2</v>
      </c>
      <c r="Q23">
        <f ca="1"/>
        <v>1.0999999999999999E-2</v>
      </c>
    </row>
    <row r="24" spans="1:17" x14ac:dyDescent="0.3">
      <c r="A24">
        <f>IF('Output Report'!$H$71+2&gt;ROW(A23),ROW(A23),0)</f>
        <v>23</v>
      </c>
      <c r="B24">
        <f>IF(AND(A24&gt;0,A24&lt;='Output Report'!$H$71+1),B23+MC_hist!$M$11/'Output Report'!$H$71,"")</f>
        <v>-3400000</v>
      </c>
      <c r="C24">
        <f t="shared" si="0"/>
        <v>11</v>
      </c>
      <c r="D24" s="45">
        <f>IF(A25&gt;0,C24/'Output Report'!$H$70,"")</f>
        <v>1.0999999999999999E-2</v>
      </c>
      <c r="E24" s="46">
        <f>IF(A25&gt;0,SUM($D$2:D24),"")</f>
        <v>9.9999999999999992E-2</v>
      </c>
      <c r="F24">
        <f t="shared" si="1"/>
        <v>1.0999999999999999E-2</v>
      </c>
      <c r="G24">
        <f t="shared" si="2"/>
        <v>9.9999999999999992E-2</v>
      </c>
      <c r="Q24">
        <f ca="1"/>
        <v>8.0000000000000002E-3</v>
      </c>
    </row>
    <row r="25" spans="1:17" x14ac:dyDescent="0.3">
      <c r="A25">
        <f>IF('Output Report'!$H$71+2&gt;ROW(A24),ROW(A24),0)</f>
        <v>24</v>
      </c>
      <c r="B25">
        <f>IF(AND(A25&gt;0,A25&lt;='Output Report'!$H$71+1),B24+MC_hist!$M$11/'Output Report'!$H$71,"")</f>
        <v>-3100000</v>
      </c>
      <c r="C25">
        <f t="shared" si="0"/>
        <v>12</v>
      </c>
      <c r="D25" s="45">
        <f>IF(A26&gt;0,C25/'Output Report'!$H$70,"")</f>
        <v>1.2E-2</v>
      </c>
      <c r="E25" s="46">
        <f>IF(A26&gt;0,SUM($D$2:D25),"")</f>
        <v>0.11199999999999999</v>
      </c>
      <c r="F25">
        <f t="shared" si="1"/>
        <v>1.2E-2</v>
      </c>
      <c r="G25">
        <f t="shared" si="2"/>
        <v>0.11199999999999999</v>
      </c>
      <c r="Q25">
        <f ca="1"/>
        <v>1.9E-2</v>
      </c>
    </row>
    <row r="26" spans="1:17" x14ac:dyDescent="0.3">
      <c r="A26">
        <f>IF('Output Report'!$H$71+2&gt;ROW(A25),ROW(A25),0)</f>
        <v>25</v>
      </c>
      <c r="B26">
        <f>IF(AND(A26&gt;0,A26&lt;='Output Report'!$H$71+1),B25+MC_hist!$M$11/'Output Report'!$H$71,"")</f>
        <v>-2800000</v>
      </c>
      <c r="C26">
        <f t="shared" si="0"/>
        <v>25</v>
      </c>
      <c r="D26" s="45">
        <f>IF(A27&gt;0,C26/'Output Report'!$H$70,"")</f>
        <v>2.5000000000000001E-2</v>
      </c>
      <c r="E26" s="46">
        <f>IF(A27&gt;0,SUM($D$2:D26),"")</f>
        <v>0.13699999999999998</v>
      </c>
      <c r="F26">
        <f t="shared" si="1"/>
        <v>2.5000000000000001E-2</v>
      </c>
      <c r="G26">
        <f t="shared" si="2"/>
        <v>0.13699999999999998</v>
      </c>
      <c r="Q26">
        <f ca="1"/>
        <v>1.4E-2</v>
      </c>
    </row>
    <row r="27" spans="1:17" x14ac:dyDescent="0.3">
      <c r="A27">
        <f>IF('Output Report'!$H$71+2&gt;ROW(A26),ROW(A26),0)</f>
        <v>26</v>
      </c>
      <c r="B27">
        <f>IF(AND(A27&gt;0,A27&lt;='Output Report'!$H$71+1),B26+MC_hist!$M$11/'Output Report'!$H$71,"")</f>
        <v>-2500000</v>
      </c>
      <c r="C27">
        <f t="shared" si="0"/>
        <v>16</v>
      </c>
      <c r="D27" s="45">
        <f>IF(A28&gt;0,C27/'Output Report'!$H$70,"")</f>
        <v>1.6E-2</v>
      </c>
      <c r="E27" s="46">
        <f>IF(A28&gt;0,SUM($D$2:D27),"")</f>
        <v>0.15299999999999997</v>
      </c>
      <c r="F27">
        <f t="shared" si="1"/>
        <v>1.6E-2</v>
      </c>
      <c r="G27">
        <f t="shared" si="2"/>
        <v>0.15299999999999997</v>
      </c>
      <c r="Q27">
        <f ca="1"/>
        <v>1.0999999999999999E-2</v>
      </c>
    </row>
    <row r="28" spans="1:17" x14ac:dyDescent="0.3">
      <c r="A28">
        <f>IF('Output Report'!$H$71+2&gt;ROW(A27),ROW(A27),0)</f>
        <v>27</v>
      </c>
      <c r="B28">
        <f>IF(AND(A28&gt;0,A28&lt;='Output Report'!$H$71+1),B27+MC_hist!$M$11/'Output Report'!$H$71,"")</f>
        <v>-2200000</v>
      </c>
      <c r="C28">
        <f t="shared" si="0"/>
        <v>13</v>
      </c>
      <c r="D28" s="45">
        <f>IF(A29&gt;0,C28/'Output Report'!$H$70,"")</f>
        <v>1.2999999999999999E-2</v>
      </c>
      <c r="E28" s="46">
        <f>IF(A29&gt;0,SUM($D$2:D28),"")</f>
        <v>0.16599999999999998</v>
      </c>
      <c r="F28">
        <f t="shared" si="1"/>
        <v>1.2999999999999999E-2</v>
      </c>
      <c r="G28">
        <f t="shared" si="2"/>
        <v>0.16599999999999998</v>
      </c>
      <c r="Q28">
        <f ca="1"/>
        <v>1.2E-2</v>
      </c>
    </row>
    <row r="29" spans="1:17" x14ac:dyDescent="0.3">
      <c r="A29">
        <f>IF('Output Report'!$H$71+2&gt;ROW(A28),ROW(A28),0)</f>
        <v>28</v>
      </c>
      <c r="B29">
        <f>IF(AND(A29&gt;0,A29&lt;='Output Report'!$H$71+1),B28+MC_hist!$M$11/'Output Report'!$H$71,"")</f>
        <v>-1900000</v>
      </c>
      <c r="C29">
        <f t="shared" si="0"/>
        <v>17</v>
      </c>
      <c r="D29" s="45">
        <f>IF(A30&gt;0,C29/'Output Report'!$H$70,"")</f>
        <v>1.7000000000000001E-2</v>
      </c>
      <c r="E29" s="46">
        <f>IF(A30&gt;0,SUM($D$2:D29),"")</f>
        <v>0.183</v>
      </c>
      <c r="F29">
        <f t="shared" si="1"/>
        <v>1.7000000000000001E-2</v>
      </c>
      <c r="G29">
        <f t="shared" si="2"/>
        <v>0.183</v>
      </c>
      <c r="Q29">
        <f ca="1"/>
        <v>2.5000000000000001E-2</v>
      </c>
    </row>
    <row r="30" spans="1:17" x14ac:dyDescent="0.3">
      <c r="A30">
        <f>IF('Output Report'!$H$71+2&gt;ROW(A29),ROW(A29),0)</f>
        <v>29</v>
      </c>
      <c r="B30">
        <f>IF(AND(A30&gt;0,A30&lt;='Output Report'!$H$71+1),B29+MC_hist!$M$11/'Output Report'!$H$71,"")</f>
        <v>-1600000</v>
      </c>
      <c r="C30">
        <f t="shared" si="0"/>
        <v>23</v>
      </c>
      <c r="D30" s="45">
        <f>IF(A31&gt;0,C30/'Output Report'!$H$70,"")</f>
        <v>2.3E-2</v>
      </c>
      <c r="E30" s="46">
        <f>IF(A31&gt;0,SUM($D$2:D30),"")</f>
        <v>0.20599999999999999</v>
      </c>
      <c r="F30">
        <f t="shared" si="1"/>
        <v>2.3E-2</v>
      </c>
      <c r="G30">
        <f t="shared" si="2"/>
        <v>0.20599999999999999</v>
      </c>
      <c r="Q30">
        <f ca="1"/>
        <v>1.6E-2</v>
      </c>
    </row>
    <row r="31" spans="1:17" x14ac:dyDescent="0.3">
      <c r="A31">
        <f>IF('Output Report'!$H$71+2&gt;ROW(A30),ROW(A30),0)</f>
        <v>30</v>
      </c>
      <c r="B31">
        <f>IF(AND(A31&gt;0,A31&lt;='Output Report'!$H$71+1),B30+MC_hist!$M$11/'Output Report'!$H$71,"")</f>
        <v>-1300000</v>
      </c>
      <c r="C31">
        <f t="shared" si="0"/>
        <v>23</v>
      </c>
      <c r="D31" s="45">
        <f>IF(A32&gt;0,C31/'Output Report'!$H$70,"")</f>
        <v>2.3E-2</v>
      </c>
      <c r="E31" s="46">
        <f>IF(A32&gt;0,SUM($D$2:D31),"")</f>
        <v>0.22899999999999998</v>
      </c>
      <c r="F31">
        <f t="shared" si="1"/>
        <v>2.3E-2</v>
      </c>
      <c r="G31">
        <f t="shared" si="2"/>
        <v>0.22899999999999998</v>
      </c>
      <c r="Q31">
        <f ca="1"/>
        <v>1.2999999999999999E-2</v>
      </c>
    </row>
    <row r="32" spans="1:17" x14ac:dyDescent="0.3">
      <c r="A32">
        <f>IF('Output Report'!$H$71+2&gt;ROW(A31),ROW(A31),0)</f>
        <v>31</v>
      </c>
      <c r="B32">
        <f>IF(AND(A32&gt;0,A32&lt;='Output Report'!$H$71+1),B31+MC_hist!$M$11/'Output Report'!$H$71,"")</f>
        <v>-1000000</v>
      </c>
      <c r="C32">
        <f t="shared" si="0"/>
        <v>21</v>
      </c>
      <c r="D32" s="45">
        <f>IF(A33&gt;0,C32/'Output Report'!$H$70,"")</f>
        <v>2.1000000000000001E-2</v>
      </c>
      <c r="E32" s="46">
        <f>IF(A33&gt;0,SUM($D$2:D32),"")</f>
        <v>0.24999999999999997</v>
      </c>
      <c r="F32">
        <f t="shared" si="1"/>
        <v>2.1000000000000001E-2</v>
      </c>
      <c r="G32">
        <f t="shared" si="2"/>
        <v>0.24999999999999997</v>
      </c>
      <c r="Q32">
        <f ca="1"/>
        <v>1.7000000000000001E-2</v>
      </c>
    </row>
    <row r="33" spans="1:17" x14ac:dyDescent="0.3">
      <c r="A33">
        <f>IF('Output Report'!$H$71+2&gt;ROW(A32),ROW(A32),0)</f>
        <v>32</v>
      </c>
      <c r="B33">
        <f>IF(AND(A33&gt;0,A33&lt;='Output Report'!$H$71+1),B32+MC_hist!$M$11/'Output Report'!$H$71,"")</f>
        <v>-700000</v>
      </c>
      <c r="C33">
        <f t="shared" si="0"/>
        <v>15</v>
      </c>
      <c r="D33" s="45">
        <f>IF(A34&gt;0,C33/'Output Report'!$H$70,"")</f>
        <v>1.4999999999999999E-2</v>
      </c>
      <c r="E33" s="46">
        <f>IF(A34&gt;0,SUM($D$2:D33),"")</f>
        <v>0.26499999999999996</v>
      </c>
      <c r="F33">
        <f t="shared" si="1"/>
        <v>1.4999999999999999E-2</v>
      </c>
      <c r="G33">
        <f t="shared" si="2"/>
        <v>0.26499999999999996</v>
      </c>
      <c r="Q33">
        <f ca="1"/>
        <v>2.3E-2</v>
      </c>
    </row>
    <row r="34" spans="1:17" x14ac:dyDescent="0.3">
      <c r="A34">
        <f>IF('Output Report'!$H$71+2&gt;ROW(A33),ROW(A33),0)</f>
        <v>33</v>
      </c>
      <c r="B34">
        <f>IF(AND(A34&gt;0,A34&lt;='Output Report'!$H$71+1),B33+MC_hist!$M$11/'Output Report'!$H$71,"")</f>
        <v>-400000</v>
      </c>
      <c r="C34">
        <f t="shared" si="0"/>
        <v>10</v>
      </c>
      <c r="D34" s="45">
        <f>IF(A35&gt;0,C34/'Output Report'!$H$70,"")</f>
        <v>0.01</v>
      </c>
      <c r="E34" s="46">
        <f>IF(A35&gt;0,SUM($D$2:D34),"")</f>
        <v>0.27499999999999997</v>
      </c>
      <c r="F34">
        <f t="shared" si="1"/>
        <v>0.01</v>
      </c>
      <c r="G34">
        <f t="shared" si="2"/>
        <v>0.27499999999999997</v>
      </c>
      <c r="Q34">
        <f ca="1"/>
        <v>2.3E-2</v>
      </c>
    </row>
    <row r="35" spans="1:17" x14ac:dyDescent="0.3">
      <c r="A35">
        <f>IF('Output Report'!$H$71+2&gt;ROW(A34),ROW(A34),0)</f>
        <v>34</v>
      </c>
      <c r="B35">
        <f>IF(AND(A35&gt;0,A35&lt;='Output Report'!$H$71+1),B34+MC_hist!$M$11/'Output Report'!$H$71,"")</f>
        <v>-100000</v>
      </c>
      <c r="C35">
        <f t="shared" si="0"/>
        <v>23</v>
      </c>
      <c r="D35" s="45">
        <f>IF(A36&gt;0,C35/'Output Report'!$H$70,"")</f>
        <v>2.3E-2</v>
      </c>
      <c r="E35" s="46">
        <f>IF(A36&gt;0,SUM($D$2:D35),"")</f>
        <v>0.29799999999999999</v>
      </c>
      <c r="F35">
        <f t="shared" si="1"/>
        <v>2.3E-2</v>
      </c>
      <c r="G35">
        <f t="shared" si="2"/>
        <v>0.29799999999999999</v>
      </c>
      <c r="Q35">
        <f ca="1"/>
        <v>2.1000000000000001E-2</v>
      </c>
    </row>
    <row r="36" spans="1:17" x14ac:dyDescent="0.3">
      <c r="A36">
        <f>IF('Output Report'!$H$71+2&gt;ROW(A35),ROW(A35),0)</f>
        <v>35</v>
      </c>
      <c r="B36">
        <f>IF(AND(A36&gt;0,A36&lt;='Output Report'!$H$71+1),B35+MC_hist!$M$11/'Output Report'!$H$71,"")</f>
        <v>200000</v>
      </c>
      <c r="C36">
        <f t="shared" si="0"/>
        <v>24</v>
      </c>
      <c r="D36" s="45">
        <f>IF(A37&gt;0,C36/'Output Report'!$H$70,"")</f>
        <v>2.4E-2</v>
      </c>
      <c r="E36" s="46">
        <f>IF(A37&gt;0,SUM($D$2:D36),"")</f>
        <v>0.32200000000000001</v>
      </c>
      <c r="F36" t="str">
        <f t="shared" si="1"/>
        <v/>
      </c>
      <c r="G36" t="str">
        <f t="shared" si="2"/>
        <v/>
      </c>
      <c r="Q36">
        <f ca="1"/>
        <v>1.4999999999999999E-2</v>
      </c>
    </row>
    <row r="37" spans="1:17" x14ac:dyDescent="0.3">
      <c r="A37">
        <f>IF('Output Report'!$H$71+2&gt;ROW(A36),ROW(A36),0)</f>
        <v>36</v>
      </c>
      <c r="B37">
        <f>IF(AND(A37&gt;0,A37&lt;='Output Report'!$H$71+1),B36+MC_hist!$M$11/'Output Report'!$H$71,"")</f>
        <v>500000</v>
      </c>
      <c r="C37">
        <f t="shared" si="0"/>
        <v>27</v>
      </c>
      <c r="D37" s="45">
        <f>IF(A38&gt;0,C37/'Output Report'!$H$70,"")</f>
        <v>2.7E-2</v>
      </c>
      <c r="E37" s="46">
        <f>IF(A38&gt;0,SUM($D$2:D37),"")</f>
        <v>0.34900000000000003</v>
      </c>
      <c r="F37" t="str">
        <f t="shared" si="1"/>
        <v/>
      </c>
      <c r="G37" t="str">
        <f t="shared" si="2"/>
        <v/>
      </c>
      <c r="Q37">
        <f ca="1"/>
        <v>0.01</v>
      </c>
    </row>
    <row r="38" spans="1:17" x14ac:dyDescent="0.3">
      <c r="A38">
        <f>IF('Output Report'!$H$71+2&gt;ROW(A37),ROW(A37),0)</f>
        <v>37</v>
      </c>
      <c r="B38">
        <f>IF(AND(A38&gt;0,A38&lt;='Output Report'!$H$71+1),B37+MC_hist!$M$11/'Output Report'!$H$71,"")</f>
        <v>800000</v>
      </c>
      <c r="C38">
        <f t="shared" si="0"/>
        <v>21</v>
      </c>
      <c r="D38" s="45">
        <f>IF(A39&gt;0,C38/'Output Report'!$H$70,"")</f>
        <v>2.1000000000000001E-2</v>
      </c>
      <c r="E38" s="46">
        <f>IF(A39&gt;0,SUM($D$2:D38),"")</f>
        <v>0.37000000000000005</v>
      </c>
      <c r="F38" t="str">
        <f t="shared" si="1"/>
        <v/>
      </c>
      <c r="G38" t="str">
        <f t="shared" si="2"/>
        <v/>
      </c>
      <c r="Q38">
        <f ca="1"/>
        <v>2.3E-2</v>
      </c>
    </row>
    <row r="39" spans="1:17" x14ac:dyDescent="0.3">
      <c r="A39">
        <f>IF('Output Report'!$H$71+2&gt;ROW(A38),ROW(A38),0)</f>
        <v>38</v>
      </c>
      <c r="B39">
        <f>IF(AND(A39&gt;0,A39&lt;='Output Report'!$H$71+1),B38+MC_hist!$M$11/'Output Report'!$H$71,"")</f>
        <v>1100000</v>
      </c>
      <c r="C39">
        <f t="shared" si="0"/>
        <v>19</v>
      </c>
      <c r="D39" s="45">
        <f>IF(A40&gt;0,C39/'Output Report'!$H$70,"")</f>
        <v>1.9E-2</v>
      </c>
      <c r="E39" s="46">
        <f>IF(A40&gt;0,SUM($D$2:D39),"")</f>
        <v>0.38900000000000007</v>
      </c>
      <c r="F39" t="str">
        <f t="shared" si="1"/>
        <v/>
      </c>
      <c r="G39" t="str">
        <f t="shared" si="2"/>
        <v/>
      </c>
      <c r="Q39" t="str">
        <f ca="1"/>
        <v/>
      </c>
    </row>
    <row r="40" spans="1:17" x14ac:dyDescent="0.3">
      <c r="A40">
        <f>IF('Output Report'!$H$71+2&gt;ROW(A39),ROW(A39),0)</f>
        <v>39</v>
      </c>
      <c r="B40">
        <f>IF(AND(A40&gt;0,A40&lt;='Output Report'!$H$71+1),B39+MC_hist!$M$11/'Output Report'!$H$71,"")</f>
        <v>1400000</v>
      </c>
      <c r="C40">
        <f t="shared" si="0"/>
        <v>20</v>
      </c>
      <c r="D40" s="45">
        <f>IF(A41&gt;0,C40/'Output Report'!$H$70,"")</f>
        <v>0.02</v>
      </c>
      <c r="E40" s="46">
        <f>IF(A41&gt;0,SUM($D$2:D40),"")</f>
        <v>0.40900000000000009</v>
      </c>
      <c r="F40" t="str">
        <f t="shared" si="1"/>
        <v/>
      </c>
      <c r="G40" t="str">
        <f t="shared" si="2"/>
        <v/>
      </c>
      <c r="Q40" t="str">
        <f ca="1"/>
        <v/>
      </c>
    </row>
    <row r="41" spans="1:17" x14ac:dyDescent="0.3">
      <c r="A41">
        <f>IF('Output Report'!$H$71+2&gt;ROW(A40),ROW(A40),0)</f>
        <v>40</v>
      </c>
      <c r="B41">
        <f>IF(AND(A41&gt;0,A41&lt;='Output Report'!$H$71+1),B40+MC_hist!$M$11/'Output Report'!$H$71,"")</f>
        <v>1700000</v>
      </c>
      <c r="C41">
        <f t="shared" si="0"/>
        <v>22</v>
      </c>
      <c r="D41" s="45">
        <f>IF(A42&gt;0,C41/'Output Report'!$H$70,"")</f>
        <v>2.1999999999999999E-2</v>
      </c>
      <c r="E41" s="46">
        <f>IF(A42&gt;0,SUM($D$2:D41),"")</f>
        <v>0.43100000000000011</v>
      </c>
      <c r="F41" t="str">
        <f t="shared" si="1"/>
        <v/>
      </c>
      <c r="G41" t="str">
        <f t="shared" si="2"/>
        <v/>
      </c>
      <c r="Q41" t="str">
        <f ca="1"/>
        <v/>
      </c>
    </row>
    <row r="42" spans="1:17" x14ac:dyDescent="0.3">
      <c r="A42">
        <f>IF('Output Report'!$H$71+2&gt;ROW(A41),ROW(A41),0)</f>
        <v>41</v>
      </c>
      <c r="B42">
        <f>IF(AND(A42&gt;0,A42&lt;='Output Report'!$H$71+1),B41+MC_hist!$M$11/'Output Report'!$H$71,"")</f>
        <v>2000000</v>
      </c>
      <c r="C42">
        <f t="shared" si="0"/>
        <v>21</v>
      </c>
      <c r="D42" s="45">
        <f>IF(A43&gt;0,C42/'Output Report'!$H$70,"")</f>
        <v>2.1000000000000001E-2</v>
      </c>
      <c r="E42" s="46">
        <f>IF(A43&gt;0,SUM($D$2:D42),"")</f>
        <v>0.45200000000000012</v>
      </c>
      <c r="F42" t="str">
        <f t="shared" si="1"/>
        <v/>
      </c>
      <c r="G42" t="str">
        <f t="shared" si="2"/>
        <v/>
      </c>
      <c r="Q42" t="str">
        <f ca="1"/>
        <v/>
      </c>
    </row>
    <row r="43" spans="1:17" x14ac:dyDescent="0.3">
      <c r="A43">
        <f>IF('Output Report'!$H$71+2&gt;ROW(A42),ROW(A42),0)</f>
        <v>42</v>
      </c>
      <c r="B43">
        <f>IF(AND(A43&gt;0,A43&lt;='Output Report'!$H$71+1),B42+MC_hist!$M$11/'Output Report'!$H$71,"")</f>
        <v>2300000</v>
      </c>
      <c r="C43">
        <f t="shared" si="0"/>
        <v>21</v>
      </c>
      <c r="D43" s="45">
        <f>IF(A44&gt;0,C43/'Output Report'!$H$70,"")</f>
        <v>2.1000000000000001E-2</v>
      </c>
      <c r="E43" s="46">
        <f>IF(A44&gt;0,SUM($D$2:D43),"")</f>
        <v>0.47300000000000014</v>
      </c>
      <c r="F43" t="str">
        <f t="shared" si="1"/>
        <v/>
      </c>
      <c r="G43" t="str">
        <f t="shared" si="2"/>
        <v/>
      </c>
      <c r="Q43" t="str">
        <f ca="1"/>
        <v/>
      </c>
    </row>
    <row r="44" spans="1:17" x14ac:dyDescent="0.3">
      <c r="A44">
        <f>IF('Output Report'!$H$71+2&gt;ROW(A43),ROW(A43),0)</f>
        <v>43</v>
      </c>
      <c r="B44">
        <f>IF(AND(A44&gt;0,A44&lt;='Output Report'!$H$71+1),B43+MC_hist!$M$11/'Output Report'!$H$71,"")</f>
        <v>2600000</v>
      </c>
      <c r="C44">
        <f t="shared" si="0"/>
        <v>27</v>
      </c>
      <c r="D44" s="45">
        <f>IF(A45&gt;0,C44/'Output Report'!$H$70,"")</f>
        <v>2.7E-2</v>
      </c>
      <c r="E44" s="46">
        <f>IF(A45&gt;0,SUM($D$2:D44),"")</f>
        <v>0.50000000000000011</v>
      </c>
      <c r="F44" t="str">
        <f t="shared" si="1"/>
        <v/>
      </c>
      <c r="G44" t="str">
        <f t="shared" si="2"/>
        <v/>
      </c>
      <c r="Q44" t="str">
        <f ca="1"/>
        <v/>
      </c>
    </row>
    <row r="45" spans="1:17" x14ac:dyDescent="0.3">
      <c r="A45">
        <f>IF('Output Report'!$H$71+2&gt;ROW(A44),ROW(A44),0)</f>
        <v>44</v>
      </c>
      <c r="B45">
        <f>IF(AND(A45&gt;0,A45&lt;='Output Report'!$H$71+1),B44+MC_hist!$M$11/'Output Report'!$H$71,"")</f>
        <v>2900000</v>
      </c>
      <c r="C45">
        <f t="shared" si="0"/>
        <v>30</v>
      </c>
      <c r="D45" s="45">
        <f>IF(A46&gt;0,C45/'Output Report'!$H$70,"")</f>
        <v>0.03</v>
      </c>
      <c r="E45" s="46">
        <f>IF(A46&gt;0,SUM($D$2:D45),"")</f>
        <v>0.53000000000000014</v>
      </c>
      <c r="F45" t="str">
        <f t="shared" si="1"/>
        <v/>
      </c>
      <c r="G45" t="str">
        <f t="shared" si="2"/>
        <v/>
      </c>
      <c r="Q45" t="str">
        <f ca="1"/>
        <v/>
      </c>
    </row>
    <row r="46" spans="1:17" x14ac:dyDescent="0.3">
      <c r="A46">
        <f>IF('Output Report'!$H$71+2&gt;ROW(A45),ROW(A45),0)</f>
        <v>45</v>
      </c>
      <c r="B46">
        <f>IF(AND(A46&gt;0,A46&lt;='Output Report'!$H$71+1),B45+MC_hist!$M$11/'Output Report'!$H$71,"")</f>
        <v>3200000</v>
      </c>
      <c r="C46">
        <f t="shared" si="0"/>
        <v>27</v>
      </c>
      <c r="D46" s="45">
        <f>IF(A47&gt;0,C46/'Output Report'!$H$70,"")</f>
        <v>2.7E-2</v>
      </c>
      <c r="E46" s="46">
        <f>IF(A47&gt;0,SUM($D$2:D46),"")</f>
        <v>0.55700000000000016</v>
      </c>
      <c r="F46" t="str">
        <f t="shared" si="1"/>
        <v/>
      </c>
      <c r="G46" t="str">
        <f t="shared" si="2"/>
        <v/>
      </c>
      <c r="Q46" t="str">
        <f ca="1"/>
        <v/>
      </c>
    </row>
    <row r="47" spans="1:17" x14ac:dyDescent="0.3">
      <c r="A47">
        <f>IF('Output Report'!$H$71+2&gt;ROW(A46),ROW(A46),0)</f>
        <v>46</v>
      </c>
      <c r="B47">
        <f>IF(AND(A47&gt;0,A47&lt;='Output Report'!$H$71+1),B46+MC_hist!$M$11/'Output Report'!$H$71,"")</f>
        <v>3500000</v>
      </c>
      <c r="C47">
        <f t="shared" si="0"/>
        <v>8</v>
      </c>
      <c r="D47" s="45">
        <f>IF(A48&gt;0,C47/'Output Report'!$H$70,"")</f>
        <v>8.0000000000000002E-3</v>
      </c>
      <c r="E47" s="46">
        <f>IF(A48&gt;0,SUM($D$2:D47),"")</f>
        <v>0.56500000000000017</v>
      </c>
      <c r="F47" t="str">
        <f t="shared" si="1"/>
        <v/>
      </c>
      <c r="G47" t="str">
        <f t="shared" si="2"/>
        <v/>
      </c>
      <c r="Q47" t="str">
        <f ca="1"/>
        <v/>
      </c>
    </row>
    <row r="48" spans="1:17" x14ac:dyDescent="0.3">
      <c r="A48">
        <f>IF('Output Report'!$H$71+2&gt;ROW(A47),ROW(A47),0)</f>
        <v>47</v>
      </c>
      <c r="B48">
        <f>IF(AND(A48&gt;0,A48&lt;='Output Report'!$H$71+1),B47+MC_hist!$M$11/'Output Report'!$H$71,"")</f>
        <v>3800000</v>
      </c>
      <c r="C48">
        <f t="shared" si="0"/>
        <v>20</v>
      </c>
      <c r="D48" s="45">
        <f>IF(A49&gt;0,C48/'Output Report'!$H$70,"")</f>
        <v>0.02</v>
      </c>
      <c r="E48" s="46">
        <f>IF(A49&gt;0,SUM($D$2:D48),"")</f>
        <v>0.58500000000000019</v>
      </c>
      <c r="F48" t="str">
        <f t="shared" si="1"/>
        <v/>
      </c>
      <c r="G48" t="str">
        <f t="shared" si="2"/>
        <v/>
      </c>
      <c r="Q48" t="str">
        <f ca="1"/>
        <v/>
      </c>
    </row>
    <row r="49" spans="1:17" x14ac:dyDescent="0.3">
      <c r="A49">
        <f>IF('Output Report'!$H$71+2&gt;ROW(A48),ROW(A48),0)</f>
        <v>48</v>
      </c>
      <c r="B49">
        <f>IF(AND(A49&gt;0,A49&lt;='Output Report'!$H$71+1),B48+MC_hist!$M$11/'Output Report'!$H$71,"")</f>
        <v>4100000</v>
      </c>
      <c r="C49">
        <f t="shared" si="0"/>
        <v>15</v>
      </c>
      <c r="D49" s="45">
        <f>IF(A50&gt;0,C49/'Output Report'!$H$70,"")</f>
        <v>1.4999999999999999E-2</v>
      </c>
      <c r="E49" s="46">
        <f>IF(A50&gt;0,SUM($D$2:D49),"")</f>
        <v>0.6000000000000002</v>
      </c>
      <c r="F49" t="str">
        <f t="shared" si="1"/>
        <v/>
      </c>
      <c r="G49" t="str">
        <f t="shared" si="2"/>
        <v/>
      </c>
      <c r="Q49" t="str">
        <f ca="1"/>
        <v/>
      </c>
    </row>
    <row r="50" spans="1:17" x14ac:dyDescent="0.3">
      <c r="A50">
        <f>IF('Output Report'!$H$71+2&gt;ROW(A49),ROW(A49),0)</f>
        <v>49</v>
      </c>
      <c r="B50">
        <f>IF(AND(A50&gt;0,A50&lt;='Output Report'!$H$71+1),B49+MC_hist!$M$11/'Output Report'!$H$71,"")</f>
        <v>4400000</v>
      </c>
      <c r="C50">
        <f t="shared" si="0"/>
        <v>20</v>
      </c>
      <c r="D50" s="45">
        <f>IF(A51&gt;0,C50/'Output Report'!$H$70,"")</f>
        <v>0.02</v>
      </c>
      <c r="E50" s="46">
        <f>IF(A51&gt;0,SUM($D$2:D50),"")</f>
        <v>0.62000000000000022</v>
      </c>
      <c r="F50" t="str">
        <f t="shared" si="1"/>
        <v/>
      </c>
      <c r="G50" t="str">
        <f t="shared" si="2"/>
        <v/>
      </c>
      <c r="Q50" t="str">
        <f ca="1"/>
        <v/>
      </c>
    </row>
    <row r="51" spans="1:17" x14ac:dyDescent="0.3">
      <c r="A51">
        <f>IF('Output Report'!$H$71+2&gt;ROW(A50),ROW(A50),0)</f>
        <v>50</v>
      </c>
      <c r="B51">
        <f>IF(AND(A51&gt;0,A51&lt;='Output Report'!$H$71+1),B50+MC_hist!$M$11/'Output Report'!$H$71,"")</f>
        <v>4700000</v>
      </c>
      <c r="C51">
        <f t="shared" si="0"/>
        <v>23</v>
      </c>
      <c r="D51" s="45">
        <f>IF(A52&gt;0,C51/'Output Report'!$H$70,"")</f>
        <v>2.3E-2</v>
      </c>
      <c r="E51" s="46">
        <f>IF(A52&gt;0,SUM($D$2:D51),"")</f>
        <v>0.64300000000000024</v>
      </c>
      <c r="F51" t="str">
        <f t="shared" si="1"/>
        <v/>
      </c>
      <c r="G51" t="str">
        <f t="shared" si="2"/>
        <v/>
      </c>
      <c r="Q51" t="str">
        <f ca="1"/>
        <v/>
      </c>
    </row>
    <row r="52" spans="1:17" x14ac:dyDescent="0.3">
      <c r="A52">
        <f>IF('Output Report'!$H$71+2&gt;ROW(A51),ROW(A51),0)</f>
        <v>51</v>
      </c>
      <c r="B52">
        <f>IF(AND(A52&gt;0,A52&lt;='Output Report'!$H$71+1),B51+MC_hist!$M$11/'Output Report'!$H$71,"")</f>
        <v>5000000</v>
      </c>
      <c r="C52">
        <f t="shared" si="0"/>
        <v>18</v>
      </c>
      <c r="D52" s="45">
        <f>IF(A53&gt;0,C52/'Output Report'!$H$70,"")</f>
        <v>1.7999999999999999E-2</v>
      </c>
      <c r="E52" s="46">
        <f>IF(A53&gt;0,SUM($D$2:D52),"")</f>
        <v>0.66100000000000025</v>
      </c>
      <c r="F52" t="str">
        <f t="shared" si="1"/>
        <v/>
      </c>
      <c r="G52" t="str">
        <f t="shared" si="2"/>
        <v/>
      </c>
      <c r="Q52" t="str">
        <f ca="1"/>
        <v/>
      </c>
    </row>
    <row r="53" spans="1:17" x14ac:dyDescent="0.3">
      <c r="A53">
        <f>IF('Output Report'!$H$71+2&gt;ROW(A52),ROW(A52),0)</f>
        <v>52</v>
      </c>
      <c r="B53">
        <f>IF(AND(A53&gt;0,A53&lt;='Output Report'!$H$71+1),B52+MC_hist!$M$11/'Output Report'!$H$71,"")</f>
        <v>5300000</v>
      </c>
      <c r="C53">
        <f t="shared" si="0"/>
        <v>25</v>
      </c>
      <c r="D53" s="45">
        <f>IF(A54&gt;0,C53/'Output Report'!$H$70,"")</f>
        <v>2.5000000000000001E-2</v>
      </c>
      <c r="E53" s="46">
        <f>IF(A54&gt;0,SUM($D$2:D53),"")</f>
        <v>0.68600000000000028</v>
      </c>
      <c r="F53" t="str">
        <f t="shared" si="1"/>
        <v/>
      </c>
      <c r="G53" t="str">
        <f t="shared" si="2"/>
        <v/>
      </c>
      <c r="Q53" t="str">
        <f ca="1"/>
        <v/>
      </c>
    </row>
    <row r="54" spans="1:17" x14ac:dyDescent="0.3">
      <c r="A54">
        <f>IF('Output Report'!$H$71+2&gt;ROW(A53),ROW(A53),0)</f>
        <v>53</v>
      </c>
      <c r="B54">
        <f>IF(AND(A54&gt;0,A54&lt;='Output Report'!$H$71+1),B53+MC_hist!$M$11/'Output Report'!$H$71,"")</f>
        <v>5600000</v>
      </c>
      <c r="C54">
        <f t="shared" si="0"/>
        <v>22</v>
      </c>
      <c r="D54" s="45">
        <f>IF(A55&gt;0,C54/'Output Report'!$H$70,"")</f>
        <v>2.1999999999999999E-2</v>
      </c>
      <c r="E54" s="46">
        <f>IF(A55&gt;0,SUM($D$2:D54),"")</f>
        <v>0.7080000000000003</v>
      </c>
      <c r="F54" t="str">
        <f t="shared" si="1"/>
        <v/>
      </c>
      <c r="G54" t="str">
        <f t="shared" si="2"/>
        <v/>
      </c>
      <c r="Q54" t="str">
        <f ca="1"/>
        <v/>
      </c>
    </row>
    <row r="55" spans="1:17" x14ac:dyDescent="0.3">
      <c r="A55">
        <f>IF('Output Report'!$H$71+2&gt;ROW(A54),ROW(A54),0)</f>
        <v>54</v>
      </c>
      <c r="B55">
        <f>IF(AND(A55&gt;0,A55&lt;='Output Report'!$H$71+1),B54+MC_hist!$M$11/'Output Report'!$H$71,"")</f>
        <v>5900000</v>
      </c>
      <c r="C55">
        <f t="shared" si="0"/>
        <v>20</v>
      </c>
      <c r="D55" s="45">
        <f>IF(A56&gt;0,C55/'Output Report'!$H$70,"")</f>
        <v>0.02</v>
      </c>
      <c r="E55" s="46">
        <f>IF(A56&gt;0,SUM($D$2:D55),"")</f>
        <v>0.72800000000000031</v>
      </c>
      <c r="F55" t="str">
        <f t="shared" si="1"/>
        <v/>
      </c>
      <c r="G55" t="str">
        <f t="shared" si="2"/>
        <v/>
      </c>
      <c r="Q55" t="str">
        <f ca="1"/>
        <v/>
      </c>
    </row>
    <row r="56" spans="1:17" x14ac:dyDescent="0.3">
      <c r="A56">
        <f>IF('Output Report'!$H$71+2&gt;ROW(A55),ROW(A55),0)</f>
        <v>55</v>
      </c>
      <c r="B56">
        <f>IF(AND(A56&gt;0,A56&lt;='Output Report'!$H$71+1),B55+MC_hist!$M$11/'Output Report'!$H$71,"")</f>
        <v>6200000</v>
      </c>
      <c r="C56">
        <f t="shared" si="0"/>
        <v>15</v>
      </c>
      <c r="D56" s="45">
        <f>IF(A57&gt;0,C56/'Output Report'!$H$70,"")</f>
        <v>1.4999999999999999E-2</v>
      </c>
      <c r="E56" s="46">
        <f>IF(A57&gt;0,SUM($D$2:D56),"")</f>
        <v>0.74300000000000033</v>
      </c>
      <c r="F56" t="str">
        <f t="shared" si="1"/>
        <v/>
      </c>
      <c r="G56" t="str">
        <f t="shared" si="2"/>
        <v/>
      </c>
      <c r="Q56" t="str">
        <f ca="1"/>
        <v/>
      </c>
    </row>
    <row r="57" spans="1:17" x14ac:dyDescent="0.3">
      <c r="A57">
        <f>IF('Output Report'!$H$71+2&gt;ROW(A56),ROW(A56),0)</f>
        <v>56</v>
      </c>
      <c r="B57">
        <f>IF(AND(A57&gt;0,A57&lt;='Output Report'!$H$71+1),B56+MC_hist!$M$11/'Output Report'!$H$71,"")</f>
        <v>6500000</v>
      </c>
      <c r="C57">
        <f t="shared" si="0"/>
        <v>13</v>
      </c>
      <c r="D57" s="45">
        <f>IF(A58&gt;0,C57/'Output Report'!$H$70,"")</f>
        <v>1.2999999999999999E-2</v>
      </c>
      <c r="E57" s="46">
        <f>IF(A58&gt;0,SUM($D$2:D57),"")</f>
        <v>0.75600000000000034</v>
      </c>
      <c r="F57" t="str">
        <f t="shared" si="1"/>
        <v/>
      </c>
      <c r="G57" t="str">
        <f t="shared" si="2"/>
        <v/>
      </c>
      <c r="Q57" t="str">
        <f ca="1"/>
        <v/>
      </c>
    </row>
    <row r="58" spans="1:17" x14ac:dyDescent="0.3">
      <c r="A58">
        <f>IF('Output Report'!$H$71+2&gt;ROW(A57),ROW(A57),0)</f>
        <v>57</v>
      </c>
      <c r="B58">
        <f>IF(AND(A58&gt;0,A58&lt;='Output Report'!$H$71+1),B57+MC_hist!$M$11/'Output Report'!$H$71,"")</f>
        <v>6800000</v>
      </c>
      <c r="C58">
        <f t="shared" si="0"/>
        <v>15</v>
      </c>
      <c r="D58" s="45">
        <f>IF(A59&gt;0,C58/'Output Report'!$H$70,"")</f>
        <v>1.4999999999999999E-2</v>
      </c>
      <c r="E58" s="46">
        <f>IF(A59&gt;0,SUM($D$2:D58),"")</f>
        <v>0.77100000000000035</v>
      </c>
      <c r="F58" t="str">
        <f t="shared" si="1"/>
        <v/>
      </c>
      <c r="G58" t="str">
        <f t="shared" si="2"/>
        <v/>
      </c>
      <c r="Q58" t="str">
        <f ca="1"/>
        <v/>
      </c>
    </row>
    <row r="59" spans="1:17" x14ac:dyDescent="0.3">
      <c r="A59">
        <f>IF('Output Report'!$H$71+2&gt;ROW(A58),ROW(A58),0)</f>
        <v>58</v>
      </c>
      <c r="B59">
        <f>IF(AND(A59&gt;0,A59&lt;='Output Report'!$H$71+1),B58+MC_hist!$M$11/'Output Report'!$H$71,"")</f>
        <v>7100000</v>
      </c>
      <c r="C59">
        <f t="shared" si="0"/>
        <v>16</v>
      </c>
      <c r="D59" s="45">
        <f>IF(A60&gt;0,C59/'Output Report'!$H$70,"")</f>
        <v>1.6E-2</v>
      </c>
      <c r="E59" s="46">
        <f>IF(A60&gt;0,SUM($D$2:D59),"")</f>
        <v>0.78700000000000037</v>
      </c>
      <c r="F59" t="str">
        <f t="shared" si="1"/>
        <v/>
      </c>
      <c r="G59" t="str">
        <f t="shared" si="2"/>
        <v/>
      </c>
      <c r="Q59" t="str">
        <f ca="1"/>
        <v/>
      </c>
    </row>
    <row r="60" spans="1:17" x14ac:dyDescent="0.3">
      <c r="A60">
        <f>IF('Output Report'!$H$71+2&gt;ROW(A59),ROW(A59),0)</f>
        <v>59</v>
      </c>
      <c r="B60">
        <f>IF(AND(A60&gt;0,A60&lt;='Output Report'!$H$71+1),B59+MC_hist!$M$11/'Output Report'!$H$71,"")</f>
        <v>7400000</v>
      </c>
      <c r="C60">
        <f t="shared" si="0"/>
        <v>12</v>
      </c>
      <c r="D60" s="45">
        <f>IF(A61&gt;0,C60/'Output Report'!$H$70,"")</f>
        <v>1.2E-2</v>
      </c>
      <c r="E60" s="46">
        <f>IF(A61&gt;0,SUM($D$2:D60),"")</f>
        <v>0.79900000000000038</v>
      </c>
      <c r="F60" t="str">
        <f t="shared" si="1"/>
        <v/>
      </c>
      <c r="G60" t="str">
        <f t="shared" si="2"/>
        <v/>
      </c>
      <c r="Q60" t="str">
        <f ca="1"/>
        <v/>
      </c>
    </row>
    <row r="61" spans="1:17" x14ac:dyDescent="0.3">
      <c r="A61">
        <f>IF('Output Report'!$H$71+2&gt;ROW(A60),ROW(A60),0)</f>
        <v>60</v>
      </c>
      <c r="B61">
        <f>IF(AND(A61&gt;0,A61&lt;='Output Report'!$H$71+1),B60+MC_hist!$M$11/'Output Report'!$H$71,"")</f>
        <v>7700000</v>
      </c>
      <c r="C61">
        <f t="shared" si="0"/>
        <v>13</v>
      </c>
      <c r="D61" s="45">
        <f>IF(A62&gt;0,C61/'Output Report'!$H$70,"")</f>
        <v>1.2999999999999999E-2</v>
      </c>
      <c r="E61" s="46">
        <f>IF(A62&gt;0,SUM($D$2:D61),"")</f>
        <v>0.81200000000000039</v>
      </c>
      <c r="F61" t="str">
        <f t="shared" si="1"/>
        <v/>
      </c>
      <c r="G61" t="str">
        <f t="shared" si="2"/>
        <v/>
      </c>
      <c r="Q61" t="str">
        <f ca="1"/>
        <v/>
      </c>
    </row>
    <row r="62" spans="1:17" x14ac:dyDescent="0.3">
      <c r="A62">
        <f>IF('Output Report'!$H$71+2&gt;ROW(A61),ROW(A61),0)</f>
        <v>61</v>
      </c>
      <c r="B62">
        <f>IF(AND(A62&gt;0,A62&lt;='Output Report'!$H$71+1),B61+MC_hist!$M$11/'Output Report'!$H$71,"")</f>
        <v>8000000</v>
      </c>
      <c r="C62">
        <f t="shared" si="0"/>
        <v>20</v>
      </c>
      <c r="D62" s="45">
        <f>IF(A63&gt;0,C62/'Output Report'!$H$70,"")</f>
        <v>0.02</v>
      </c>
      <c r="E62" s="46">
        <f>IF(A63&gt;0,SUM($D$2:D62),"")</f>
        <v>0.83200000000000041</v>
      </c>
      <c r="F62" t="str">
        <f t="shared" si="1"/>
        <v/>
      </c>
      <c r="G62" t="str">
        <f t="shared" si="2"/>
        <v/>
      </c>
      <c r="Q62" t="str">
        <f ca="1"/>
        <v/>
      </c>
    </row>
    <row r="63" spans="1:17" x14ac:dyDescent="0.3">
      <c r="A63">
        <f>IF('Output Report'!$H$71+2&gt;ROW(A62),ROW(A62),0)</f>
        <v>62</v>
      </c>
      <c r="B63">
        <f>IF(AND(A63&gt;0,A63&lt;='Output Report'!$H$71+1),B62+MC_hist!$M$11/'Output Report'!$H$71,"")</f>
        <v>8300000</v>
      </c>
      <c r="C63">
        <f t="shared" si="0"/>
        <v>14</v>
      </c>
      <c r="D63" s="45">
        <f>IF(A64&gt;0,C63/'Output Report'!$H$70,"")</f>
        <v>1.4E-2</v>
      </c>
      <c r="E63" s="46">
        <f>IF(A64&gt;0,SUM($D$2:D63),"")</f>
        <v>0.84600000000000042</v>
      </c>
      <c r="F63" t="str">
        <f t="shared" si="1"/>
        <v/>
      </c>
      <c r="G63" t="str">
        <f t="shared" si="2"/>
        <v/>
      </c>
      <c r="Q63" t="str">
        <f ca="1"/>
        <v/>
      </c>
    </row>
    <row r="64" spans="1:17" x14ac:dyDescent="0.3">
      <c r="A64">
        <f>IF('Output Report'!$H$71+2&gt;ROW(A63),ROW(A63),0)</f>
        <v>63</v>
      </c>
      <c r="B64">
        <f>IF(AND(A64&gt;0,A64&lt;='Output Report'!$H$71+1),B63+MC_hist!$M$11/'Output Report'!$H$71,"")</f>
        <v>8600000</v>
      </c>
      <c r="C64">
        <f t="shared" si="0"/>
        <v>11</v>
      </c>
      <c r="D64" s="45">
        <f>IF(A65&gt;0,C64/'Output Report'!$H$70,"")</f>
        <v>1.0999999999999999E-2</v>
      </c>
      <c r="E64" s="46">
        <f>IF(A65&gt;0,SUM($D$2:D64),"")</f>
        <v>0.85700000000000043</v>
      </c>
      <c r="F64" t="str">
        <f t="shared" si="1"/>
        <v/>
      </c>
      <c r="G64" t="str">
        <f t="shared" si="2"/>
        <v/>
      </c>
      <c r="Q64" t="str">
        <f ca="1"/>
        <v/>
      </c>
    </row>
    <row r="65" spans="1:17" x14ac:dyDescent="0.3">
      <c r="A65">
        <f>IF('Output Report'!$H$71+2&gt;ROW(A64),ROW(A64),0)</f>
        <v>64</v>
      </c>
      <c r="B65">
        <f>IF(AND(A65&gt;0,A65&lt;='Output Report'!$H$71+1),B64+MC_hist!$M$11/'Output Report'!$H$71,"")</f>
        <v>8900000</v>
      </c>
      <c r="C65">
        <f t="shared" si="0"/>
        <v>8</v>
      </c>
      <c r="D65" s="45">
        <f>IF(A66&gt;0,C65/'Output Report'!$H$70,"")</f>
        <v>8.0000000000000002E-3</v>
      </c>
      <c r="E65" s="46">
        <f>IF(A66&gt;0,SUM($D$2:D65),"")</f>
        <v>0.86500000000000044</v>
      </c>
      <c r="F65" t="str">
        <f t="shared" si="1"/>
        <v/>
      </c>
      <c r="G65" t="str">
        <f t="shared" si="2"/>
        <v/>
      </c>
      <c r="Q65" t="str">
        <f ca="1"/>
        <v/>
      </c>
    </row>
    <row r="66" spans="1:17" x14ac:dyDescent="0.3">
      <c r="A66">
        <f>IF('Output Report'!$H$71+2&gt;ROW(A65),ROW(A65),0)</f>
        <v>65</v>
      </c>
      <c r="B66">
        <f>IF(AND(A66&gt;0,A66&lt;='Output Report'!$H$71+1),B65+MC_hist!$M$11/'Output Report'!$H$71,"")</f>
        <v>9200000</v>
      </c>
      <c r="C66">
        <f t="shared" ref="C66:C129" si="3">IF(A67&gt;0,COUNTIFS(data_sim,"&gt;"&amp;B66,data_sim,"&lt;="&amp;B67),"")</f>
        <v>10</v>
      </c>
      <c r="D66" s="45">
        <f>IF(A67&gt;0,C66/'Output Report'!$H$70,"")</f>
        <v>0.01</v>
      </c>
      <c r="E66" s="46">
        <f>IF(A67&gt;0,SUM($D$2:D66),"")</f>
        <v>0.87500000000000044</v>
      </c>
      <c r="F66" t="str">
        <f t="shared" si="1"/>
        <v/>
      </c>
      <c r="G66" t="str">
        <f t="shared" si="2"/>
        <v/>
      </c>
      <c r="Q66" t="str">
        <f ca="1"/>
        <v/>
      </c>
    </row>
    <row r="67" spans="1:17" x14ac:dyDescent="0.3">
      <c r="A67">
        <f>IF('Output Report'!$H$71+2&gt;ROW(A66),ROW(A66),0)</f>
        <v>66</v>
      </c>
      <c r="B67">
        <f>IF(AND(A67&gt;0,A67&lt;='Output Report'!$H$71+1),B66+MC_hist!$M$11/'Output Report'!$H$71,"")</f>
        <v>9500000</v>
      </c>
      <c r="C67">
        <f t="shared" si="3"/>
        <v>8</v>
      </c>
      <c r="D67" s="45">
        <f>IF(A68&gt;0,C67/'Output Report'!$H$70,"")</f>
        <v>8.0000000000000002E-3</v>
      </c>
      <c r="E67" s="46">
        <f>IF(A68&gt;0,SUM($D$2:D67),"")</f>
        <v>0.88300000000000045</v>
      </c>
      <c r="F67" t="str">
        <f t="shared" ref="F67:F130" si="4">IF(B67&lt;=0,D67,"")</f>
        <v/>
      </c>
      <c r="G67" t="str">
        <f t="shared" ref="G67:G130" si="5">IF(B67&lt;=0,E67,"")</f>
        <v/>
      </c>
      <c r="Q67" t="str">
        <f ca="1"/>
        <v/>
      </c>
    </row>
    <row r="68" spans="1:17" x14ac:dyDescent="0.3">
      <c r="A68">
        <f>IF('Output Report'!$H$71+2&gt;ROW(A67),ROW(A67),0)</f>
        <v>67</v>
      </c>
      <c r="B68">
        <f>IF(AND(A68&gt;0,A68&lt;='Output Report'!$H$71+1),B67+MC_hist!$M$11/'Output Report'!$H$71,"")</f>
        <v>9800000</v>
      </c>
      <c r="C68">
        <f t="shared" si="3"/>
        <v>9</v>
      </c>
      <c r="D68" s="45">
        <f>IF(A69&gt;0,C68/'Output Report'!$H$70,"")</f>
        <v>8.9999999999999993E-3</v>
      </c>
      <c r="E68" s="46">
        <f>IF(A69&gt;0,SUM($D$2:D68),"")</f>
        <v>0.89200000000000046</v>
      </c>
      <c r="F68" t="str">
        <f t="shared" si="4"/>
        <v/>
      </c>
      <c r="G68" t="str">
        <f t="shared" si="5"/>
        <v/>
      </c>
      <c r="Q68" t="str">
        <f ca="1"/>
        <v/>
      </c>
    </row>
    <row r="69" spans="1:17" x14ac:dyDescent="0.3">
      <c r="A69">
        <f>IF('Output Report'!$H$71+2&gt;ROW(A68),ROW(A68),0)</f>
        <v>68</v>
      </c>
      <c r="B69">
        <f>IF(AND(A69&gt;0,A69&lt;='Output Report'!$H$71+1),B68+MC_hist!$M$11/'Output Report'!$H$71,"")</f>
        <v>10100000</v>
      </c>
      <c r="C69">
        <f t="shared" si="3"/>
        <v>12</v>
      </c>
      <c r="D69" s="45">
        <f>IF(A70&gt;0,C69/'Output Report'!$H$70,"")</f>
        <v>1.2E-2</v>
      </c>
      <c r="E69" s="46">
        <f>IF(A70&gt;0,SUM($D$2:D69),"")</f>
        <v>0.90400000000000047</v>
      </c>
      <c r="F69" t="str">
        <f t="shared" si="4"/>
        <v/>
      </c>
      <c r="G69" t="str">
        <f t="shared" si="5"/>
        <v/>
      </c>
      <c r="Q69" t="str">
        <f ca="1"/>
        <v/>
      </c>
    </row>
    <row r="70" spans="1:17" x14ac:dyDescent="0.3">
      <c r="A70">
        <f>IF('Output Report'!$H$71+2&gt;ROW(A69),ROW(A69),0)</f>
        <v>69</v>
      </c>
      <c r="B70">
        <f>IF(AND(A70&gt;0,A70&lt;='Output Report'!$H$71+1),B69+MC_hist!$M$11/'Output Report'!$H$71,"")</f>
        <v>10400000</v>
      </c>
      <c r="C70">
        <f t="shared" si="3"/>
        <v>11</v>
      </c>
      <c r="D70" s="45">
        <f>IF(A71&gt;0,C70/'Output Report'!$H$70,"")</f>
        <v>1.0999999999999999E-2</v>
      </c>
      <c r="E70" s="46">
        <f>IF(A71&gt;0,SUM($D$2:D70),"")</f>
        <v>0.91500000000000048</v>
      </c>
      <c r="F70" t="str">
        <f t="shared" si="4"/>
        <v/>
      </c>
      <c r="G70" t="str">
        <f t="shared" si="5"/>
        <v/>
      </c>
      <c r="Q70" t="str">
        <f ca="1"/>
        <v/>
      </c>
    </row>
    <row r="71" spans="1:17" x14ac:dyDescent="0.3">
      <c r="A71">
        <f>IF('Output Report'!$H$71+2&gt;ROW(A70),ROW(A70),0)</f>
        <v>70</v>
      </c>
      <c r="B71">
        <f>IF(AND(A71&gt;0,A71&lt;='Output Report'!$H$71+1),B70+MC_hist!$M$11/'Output Report'!$H$71,"")</f>
        <v>10700000</v>
      </c>
      <c r="C71">
        <f t="shared" si="3"/>
        <v>8</v>
      </c>
      <c r="D71" s="45">
        <f>IF(A72&gt;0,C71/'Output Report'!$H$70,"")</f>
        <v>8.0000000000000002E-3</v>
      </c>
      <c r="E71" s="46">
        <f>IF(A72&gt;0,SUM($D$2:D71),"")</f>
        <v>0.92300000000000049</v>
      </c>
      <c r="F71" t="str">
        <f t="shared" si="4"/>
        <v/>
      </c>
      <c r="G71" t="str">
        <f t="shared" si="5"/>
        <v/>
      </c>
      <c r="Q71" t="str">
        <f ca="1"/>
        <v/>
      </c>
    </row>
    <row r="72" spans="1:17" x14ac:dyDescent="0.3">
      <c r="A72">
        <f>IF('Output Report'!$H$71+2&gt;ROW(A71),ROW(A71),0)</f>
        <v>71</v>
      </c>
      <c r="B72">
        <f>IF(AND(A72&gt;0,A72&lt;='Output Report'!$H$71+1),B71+MC_hist!$M$11/'Output Report'!$H$71,"")</f>
        <v>11000000</v>
      </c>
      <c r="C72">
        <f t="shared" si="3"/>
        <v>10</v>
      </c>
      <c r="D72" s="45">
        <f>IF(A73&gt;0,C72/'Output Report'!$H$70,"")</f>
        <v>0.01</v>
      </c>
      <c r="E72" s="46">
        <f>IF(A73&gt;0,SUM($D$2:D72),"")</f>
        <v>0.9330000000000005</v>
      </c>
      <c r="F72" t="str">
        <f t="shared" si="4"/>
        <v/>
      </c>
      <c r="G72" t="str">
        <f t="shared" si="5"/>
        <v/>
      </c>
      <c r="Q72" t="str">
        <f ca="1"/>
        <v/>
      </c>
    </row>
    <row r="73" spans="1:17" x14ac:dyDescent="0.3">
      <c r="A73">
        <f>IF('Output Report'!$H$71+2&gt;ROW(A72),ROW(A72),0)</f>
        <v>72</v>
      </c>
      <c r="B73">
        <f>IF(AND(A73&gt;0,A73&lt;='Output Report'!$H$71+1),B72+MC_hist!$M$11/'Output Report'!$H$71,"")</f>
        <v>11300000</v>
      </c>
      <c r="C73">
        <f t="shared" si="3"/>
        <v>12</v>
      </c>
      <c r="D73" s="45">
        <f>IF(A74&gt;0,C73/'Output Report'!$H$70,"")</f>
        <v>1.2E-2</v>
      </c>
      <c r="E73" s="46">
        <f>IF(A74&gt;0,SUM($D$2:D73),"")</f>
        <v>0.94500000000000051</v>
      </c>
      <c r="F73" t="str">
        <f t="shared" si="4"/>
        <v/>
      </c>
      <c r="G73" t="str">
        <f t="shared" si="5"/>
        <v/>
      </c>
      <c r="Q73" t="str">
        <f ca="1"/>
        <v/>
      </c>
    </row>
    <row r="74" spans="1:17" x14ac:dyDescent="0.3">
      <c r="A74">
        <f>IF('Output Report'!$H$71+2&gt;ROW(A73),ROW(A73),0)</f>
        <v>73</v>
      </c>
      <c r="B74">
        <f>IF(AND(A74&gt;0,A74&lt;='Output Report'!$H$71+1),B73+MC_hist!$M$11/'Output Report'!$H$71,"")</f>
        <v>11600000</v>
      </c>
      <c r="C74">
        <f t="shared" si="3"/>
        <v>3</v>
      </c>
      <c r="D74" s="45">
        <f>IF(A75&gt;0,C74/'Output Report'!$H$70,"")</f>
        <v>3.0000000000000001E-3</v>
      </c>
      <c r="E74" s="46">
        <f>IF(A75&gt;0,SUM($D$2:D74),"")</f>
        <v>0.94800000000000051</v>
      </c>
      <c r="F74" t="str">
        <f t="shared" si="4"/>
        <v/>
      </c>
      <c r="G74" t="str">
        <f t="shared" si="5"/>
        <v/>
      </c>
      <c r="Q74" t="str">
        <f ca="1"/>
        <v/>
      </c>
    </row>
    <row r="75" spans="1:17" x14ac:dyDescent="0.3">
      <c r="A75">
        <f>IF('Output Report'!$H$71+2&gt;ROW(A74),ROW(A74),0)</f>
        <v>74</v>
      </c>
      <c r="B75">
        <f>IF(AND(A75&gt;0,A75&lt;='Output Report'!$H$71+1),B74+MC_hist!$M$11/'Output Report'!$H$71,"")</f>
        <v>11900000</v>
      </c>
      <c r="C75">
        <f t="shared" si="3"/>
        <v>5</v>
      </c>
      <c r="D75" s="45">
        <f>IF(A76&gt;0,C75/'Output Report'!$H$70,"")</f>
        <v>5.0000000000000001E-3</v>
      </c>
      <c r="E75" s="46">
        <f>IF(A76&gt;0,SUM($D$2:D75),"")</f>
        <v>0.95300000000000051</v>
      </c>
      <c r="F75" t="str">
        <f t="shared" si="4"/>
        <v/>
      </c>
      <c r="G75" t="str">
        <f t="shared" si="5"/>
        <v/>
      </c>
      <c r="Q75" t="str">
        <f ca="1"/>
        <v/>
      </c>
    </row>
    <row r="76" spans="1:17" x14ac:dyDescent="0.3">
      <c r="A76">
        <f>IF('Output Report'!$H$71+2&gt;ROW(A75),ROW(A75),0)</f>
        <v>75</v>
      </c>
      <c r="B76">
        <f>IF(AND(A76&gt;0,A76&lt;='Output Report'!$H$71+1),B75+MC_hist!$M$11/'Output Report'!$H$71,"")</f>
        <v>12200000</v>
      </c>
      <c r="C76">
        <f t="shared" si="3"/>
        <v>2</v>
      </c>
      <c r="D76" s="45">
        <f>IF(A77&gt;0,C76/'Output Report'!$H$70,"")</f>
        <v>2E-3</v>
      </c>
      <c r="E76" s="46">
        <f>IF(A77&gt;0,SUM($D$2:D76),"")</f>
        <v>0.95500000000000052</v>
      </c>
      <c r="F76" t="str">
        <f t="shared" si="4"/>
        <v/>
      </c>
      <c r="G76" t="str">
        <f t="shared" si="5"/>
        <v/>
      </c>
      <c r="Q76" t="str">
        <f ca="1"/>
        <v/>
      </c>
    </row>
    <row r="77" spans="1:17" x14ac:dyDescent="0.3">
      <c r="A77">
        <f>IF('Output Report'!$H$71+2&gt;ROW(A76),ROW(A76),0)</f>
        <v>76</v>
      </c>
      <c r="B77">
        <f>IF(AND(A77&gt;0,A77&lt;='Output Report'!$H$71+1),B76+MC_hist!$M$11/'Output Report'!$H$71,"")</f>
        <v>12500000</v>
      </c>
      <c r="C77">
        <f t="shared" si="3"/>
        <v>4</v>
      </c>
      <c r="D77" s="45">
        <f>IF(A78&gt;0,C77/'Output Report'!$H$70,"")</f>
        <v>4.0000000000000001E-3</v>
      </c>
      <c r="E77" s="46">
        <f>IF(A78&gt;0,SUM($D$2:D77),"")</f>
        <v>0.95900000000000052</v>
      </c>
      <c r="F77" t="str">
        <f t="shared" si="4"/>
        <v/>
      </c>
      <c r="G77" t="str">
        <f t="shared" si="5"/>
        <v/>
      </c>
      <c r="Q77" t="str">
        <f ca="1"/>
        <v/>
      </c>
    </row>
    <row r="78" spans="1:17" x14ac:dyDescent="0.3">
      <c r="A78">
        <f>IF('Output Report'!$H$71+2&gt;ROW(A77),ROW(A77),0)</f>
        <v>77</v>
      </c>
      <c r="B78">
        <f>IF(AND(A78&gt;0,A78&lt;='Output Report'!$H$71+1),B77+MC_hist!$M$11/'Output Report'!$H$71,"")</f>
        <v>12800000</v>
      </c>
      <c r="C78">
        <f t="shared" si="3"/>
        <v>3</v>
      </c>
      <c r="D78" s="45">
        <f>IF(A79&gt;0,C78/'Output Report'!$H$70,"")</f>
        <v>3.0000000000000001E-3</v>
      </c>
      <c r="E78" s="46">
        <f>IF(A79&gt;0,SUM($D$2:D78),"")</f>
        <v>0.96200000000000052</v>
      </c>
      <c r="F78" t="str">
        <f t="shared" si="4"/>
        <v/>
      </c>
      <c r="G78" t="str">
        <f t="shared" si="5"/>
        <v/>
      </c>
      <c r="Q78" t="str">
        <f ca="1"/>
        <v/>
      </c>
    </row>
    <row r="79" spans="1:17" x14ac:dyDescent="0.3">
      <c r="A79">
        <f>IF('Output Report'!$H$71+2&gt;ROW(A78),ROW(A78),0)</f>
        <v>78</v>
      </c>
      <c r="B79">
        <f>IF(AND(A79&gt;0,A79&lt;='Output Report'!$H$71+1),B78+MC_hist!$M$11/'Output Report'!$H$71,"")</f>
        <v>13100000</v>
      </c>
      <c r="C79">
        <f t="shared" si="3"/>
        <v>5</v>
      </c>
      <c r="D79" s="45">
        <f>IF(A80&gt;0,C79/'Output Report'!$H$70,"")</f>
        <v>5.0000000000000001E-3</v>
      </c>
      <c r="E79" s="46">
        <f>IF(A80&gt;0,SUM($D$2:D79),"")</f>
        <v>0.96700000000000053</v>
      </c>
      <c r="F79" t="str">
        <f t="shared" si="4"/>
        <v/>
      </c>
      <c r="G79" t="str">
        <f t="shared" si="5"/>
        <v/>
      </c>
      <c r="Q79" t="str">
        <f ca="1"/>
        <v/>
      </c>
    </row>
    <row r="80" spans="1:17" x14ac:dyDescent="0.3">
      <c r="A80">
        <f>IF('Output Report'!$H$71+2&gt;ROW(A79),ROW(A79),0)</f>
        <v>79</v>
      </c>
      <c r="B80">
        <f>IF(AND(A80&gt;0,A80&lt;='Output Report'!$H$71+1),B79+MC_hist!$M$11/'Output Report'!$H$71,"")</f>
        <v>13400000</v>
      </c>
      <c r="C80">
        <f t="shared" si="3"/>
        <v>6</v>
      </c>
      <c r="D80" s="45">
        <f>IF(A81&gt;0,C80/'Output Report'!$H$70,"")</f>
        <v>6.0000000000000001E-3</v>
      </c>
      <c r="E80" s="46">
        <f>IF(A81&gt;0,SUM($D$2:D80),"")</f>
        <v>0.97300000000000053</v>
      </c>
      <c r="F80" t="str">
        <f t="shared" si="4"/>
        <v/>
      </c>
      <c r="G80" t="str">
        <f t="shared" si="5"/>
        <v/>
      </c>
      <c r="Q80" t="str">
        <f ca="1"/>
        <v/>
      </c>
    </row>
    <row r="81" spans="1:17" x14ac:dyDescent="0.3">
      <c r="A81">
        <f>IF('Output Report'!$H$71+2&gt;ROW(A80),ROW(A80),0)</f>
        <v>80</v>
      </c>
      <c r="B81">
        <f>IF(AND(A81&gt;0,A81&lt;='Output Report'!$H$71+1),B80+MC_hist!$M$11/'Output Report'!$H$71,"")</f>
        <v>13700000</v>
      </c>
      <c r="C81">
        <f t="shared" si="3"/>
        <v>3</v>
      </c>
      <c r="D81" s="45">
        <f>IF(A82&gt;0,C81/'Output Report'!$H$70,"")</f>
        <v>3.0000000000000001E-3</v>
      </c>
      <c r="E81" s="46">
        <f>IF(A82&gt;0,SUM($D$2:D81),"")</f>
        <v>0.97600000000000053</v>
      </c>
      <c r="F81" t="str">
        <f t="shared" si="4"/>
        <v/>
      </c>
      <c r="G81" t="str">
        <f t="shared" si="5"/>
        <v/>
      </c>
      <c r="Q81" t="str">
        <f ca="1"/>
        <v/>
      </c>
    </row>
    <row r="82" spans="1:17" x14ac:dyDescent="0.3">
      <c r="A82">
        <f>IF('Output Report'!$H$71+2&gt;ROW(A81),ROW(A81),0)</f>
        <v>81</v>
      </c>
      <c r="B82">
        <f>IF(AND(A82&gt;0,A82&lt;='Output Report'!$H$71+1),B81+MC_hist!$M$11/'Output Report'!$H$71,"")</f>
        <v>14000000</v>
      </c>
      <c r="C82">
        <f t="shared" si="3"/>
        <v>5</v>
      </c>
      <c r="D82" s="45">
        <f>IF(A83&gt;0,C82/'Output Report'!$H$70,"")</f>
        <v>5.0000000000000001E-3</v>
      </c>
      <c r="E82" s="46">
        <f>IF(A83&gt;0,SUM($D$2:D82),"")</f>
        <v>0.98100000000000054</v>
      </c>
      <c r="F82" t="str">
        <f t="shared" si="4"/>
        <v/>
      </c>
      <c r="G82" t="str">
        <f t="shared" si="5"/>
        <v/>
      </c>
      <c r="Q82" t="str">
        <f ca="1"/>
        <v/>
      </c>
    </row>
    <row r="83" spans="1:17" x14ac:dyDescent="0.3">
      <c r="A83">
        <f>IF('Output Report'!$H$71+2&gt;ROW(A82),ROW(A82),0)</f>
        <v>82</v>
      </c>
      <c r="B83">
        <f>IF(AND(A83&gt;0,A83&lt;='Output Report'!$H$71+1),B82+MC_hist!$M$11/'Output Report'!$H$71,"")</f>
        <v>14300000</v>
      </c>
      <c r="C83">
        <f t="shared" si="3"/>
        <v>1</v>
      </c>
      <c r="D83" s="45">
        <f>IF(A84&gt;0,C83/'Output Report'!$H$70,"")</f>
        <v>1E-3</v>
      </c>
      <c r="E83" s="46">
        <f>IF(A84&gt;0,SUM($D$2:D83),"")</f>
        <v>0.98200000000000054</v>
      </c>
      <c r="F83" t="str">
        <f t="shared" si="4"/>
        <v/>
      </c>
      <c r="G83" t="str">
        <f t="shared" si="5"/>
        <v/>
      </c>
      <c r="Q83" t="str">
        <f ca="1"/>
        <v/>
      </c>
    </row>
    <row r="84" spans="1:17" x14ac:dyDescent="0.3">
      <c r="A84">
        <f>IF('Output Report'!$H$71+2&gt;ROW(A83),ROW(A83),0)</f>
        <v>83</v>
      </c>
      <c r="B84">
        <f>IF(AND(A84&gt;0,A84&lt;='Output Report'!$H$71+1),B83+MC_hist!$M$11/'Output Report'!$H$71,"")</f>
        <v>14600000</v>
      </c>
      <c r="C84">
        <f t="shared" si="3"/>
        <v>2</v>
      </c>
      <c r="D84" s="45">
        <f>IF(A85&gt;0,C84/'Output Report'!$H$70,"")</f>
        <v>2E-3</v>
      </c>
      <c r="E84" s="46">
        <f>IF(A85&gt;0,SUM($D$2:D84),"")</f>
        <v>0.98400000000000054</v>
      </c>
      <c r="F84" t="str">
        <f t="shared" si="4"/>
        <v/>
      </c>
      <c r="G84" t="str">
        <f t="shared" si="5"/>
        <v/>
      </c>
      <c r="Q84" t="str">
        <f ca="1"/>
        <v/>
      </c>
    </row>
    <row r="85" spans="1:17" x14ac:dyDescent="0.3">
      <c r="A85">
        <f>IF('Output Report'!$H$71+2&gt;ROW(A84),ROW(A84),0)</f>
        <v>84</v>
      </c>
      <c r="B85">
        <f>IF(AND(A85&gt;0,A85&lt;='Output Report'!$H$71+1),B84+MC_hist!$M$11/'Output Report'!$H$71,"")</f>
        <v>14900000</v>
      </c>
      <c r="C85">
        <f t="shared" si="3"/>
        <v>2</v>
      </c>
      <c r="D85" s="45">
        <f>IF(A86&gt;0,C85/'Output Report'!$H$70,"")</f>
        <v>2E-3</v>
      </c>
      <c r="E85" s="46">
        <f>IF(A86&gt;0,SUM($D$2:D85),"")</f>
        <v>0.98600000000000054</v>
      </c>
      <c r="F85" t="str">
        <f t="shared" si="4"/>
        <v/>
      </c>
      <c r="G85" t="str">
        <f t="shared" si="5"/>
        <v/>
      </c>
      <c r="Q85" t="str">
        <f ca="1"/>
        <v/>
      </c>
    </row>
    <row r="86" spans="1:17" x14ac:dyDescent="0.3">
      <c r="A86">
        <f>IF('Output Report'!$H$71+2&gt;ROW(A85),ROW(A85),0)</f>
        <v>85</v>
      </c>
      <c r="B86">
        <f>IF(AND(A86&gt;0,A86&lt;='Output Report'!$H$71+1),B85+MC_hist!$M$11/'Output Report'!$H$71,"")</f>
        <v>15200000</v>
      </c>
      <c r="C86">
        <f t="shared" si="3"/>
        <v>0</v>
      </c>
      <c r="D86" s="45">
        <f>IF(A87&gt;0,C86/'Output Report'!$H$70,"")</f>
        <v>0</v>
      </c>
      <c r="E86" s="46">
        <f>IF(A87&gt;0,SUM($D$2:D86),"")</f>
        <v>0.98600000000000054</v>
      </c>
      <c r="F86" t="str">
        <f t="shared" si="4"/>
        <v/>
      </c>
      <c r="G86" t="str">
        <f t="shared" si="5"/>
        <v/>
      </c>
      <c r="Q86" t="str">
        <f ca="1"/>
        <v/>
      </c>
    </row>
    <row r="87" spans="1:17" x14ac:dyDescent="0.3">
      <c r="A87">
        <f>IF('Output Report'!$H$71+2&gt;ROW(A86),ROW(A86),0)</f>
        <v>86</v>
      </c>
      <c r="B87">
        <f>IF(AND(A87&gt;0,A87&lt;='Output Report'!$H$71+1),B86+MC_hist!$M$11/'Output Report'!$H$71,"")</f>
        <v>15500000</v>
      </c>
      <c r="C87">
        <f t="shared" si="3"/>
        <v>1</v>
      </c>
      <c r="D87" s="45">
        <f>IF(A88&gt;0,C87/'Output Report'!$H$70,"")</f>
        <v>1E-3</v>
      </c>
      <c r="E87" s="46">
        <f>IF(A88&gt;0,SUM($D$2:D87),"")</f>
        <v>0.98700000000000054</v>
      </c>
      <c r="F87" t="str">
        <f t="shared" si="4"/>
        <v/>
      </c>
      <c r="G87" t="str">
        <f t="shared" si="5"/>
        <v/>
      </c>
      <c r="Q87" t="str">
        <f ca="1"/>
        <v/>
      </c>
    </row>
    <row r="88" spans="1:17" x14ac:dyDescent="0.3">
      <c r="A88">
        <f>IF('Output Report'!$H$71+2&gt;ROW(A87),ROW(A87),0)</f>
        <v>87</v>
      </c>
      <c r="B88">
        <f>IF(AND(A88&gt;0,A88&lt;='Output Report'!$H$71+1),B87+MC_hist!$M$11/'Output Report'!$H$71,"")</f>
        <v>15800000</v>
      </c>
      <c r="C88">
        <f t="shared" si="3"/>
        <v>1</v>
      </c>
      <c r="D88" s="45">
        <f>IF(A89&gt;0,C88/'Output Report'!$H$70,"")</f>
        <v>1E-3</v>
      </c>
      <c r="E88" s="46">
        <f>IF(A89&gt;0,SUM($D$2:D88),"")</f>
        <v>0.98800000000000054</v>
      </c>
      <c r="F88" t="str">
        <f t="shared" si="4"/>
        <v/>
      </c>
      <c r="G88" t="str">
        <f t="shared" si="5"/>
        <v/>
      </c>
      <c r="Q88" t="str">
        <f ca="1"/>
        <v/>
      </c>
    </row>
    <row r="89" spans="1:17" x14ac:dyDescent="0.3">
      <c r="A89">
        <f>IF('Output Report'!$H$71+2&gt;ROW(A88),ROW(A88),0)</f>
        <v>88</v>
      </c>
      <c r="B89">
        <f>IF(AND(A89&gt;0,A89&lt;='Output Report'!$H$71+1),B88+MC_hist!$M$11/'Output Report'!$H$71,"")</f>
        <v>16100000</v>
      </c>
      <c r="C89">
        <f t="shared" si="3"/>
        <v>1</v>
      </c>
      <c r="D89" s="45">
        <f>IF(A90&gt;0,C89/'Output Report'!$H$70,"")</f>
        <v>1E-3</v>
      </c>
      <c r="E89" s="46">
        <f>IF(A90&gt;0,SUM($D$2:D89),"")</f>
        <v>0.98900000000000055</v>
      </c>
      <c r="F89" t="str">
        <f t="shared" si="4"/>
        <v/>
      </c>
      <c r="G89" t="str">
        <f t="shared" si="5"/>
        <v/>
      </c>
      <c r="Q89" t="str">
        <f ca="1"/>
        <v/>
      </c>
    </row>
    <row r="90" spans="1:17" x14ac:dyDescent="0.3">
      <c r="A90">
        <f>IF('Output Report'!$H$71+2&gt;ROW(A89),ROW(A89),0)</f>
        <v>89</v>
      </c>
      <c r="B90">
        <f>IF(AND(A90&gt;0,A90&lt;='Output Report'!$H$71+1),B89+MC_hist!$M$11/'Output Report'!$H$71,"")</f>
        <v>16400000</v>
      </c>
      <c r="C90">
        <f t="shared" si="3"/>
        <v>2</v>
      </c>
      <c r="D90" s="45">
        <f>IF(A91&gt;0,C90/'Output Report'!$H$70,"")</f>
        <v>2E-3</v>
      </c>
      <c r="E90" s="46">
        <f>IF(A91&gt;0,SUM($D$2:D90),"")</f>
        <v>0.99100000000000055</v>
      </c>
      <c r="F90" t="str">
        <f t="shared" si="4"/>
        <v/>
      </c>
      <c r="G90" t="str">
        <f t="shared" si="5"/>
        <v/>
      </c>
      <c r="Q90" t="str">
        <f ca="1"/>
        <v/>
      </c>
    </row>
    <row r="91" spans="1:17" x14ac:dyDescent="0.3">
      <c r="A91">
        <f>IF('Output Report'!$H$71+2&gt;ROW(A90),ROW(A90),0)</f>
        <v>90</v>
      </c>
      <c r="B91">
        <f>IF(AND(A91&gt;0,A91&lt;='Output Report'!$H$71+1),B90+MC_hist!$M$11/'Output Report'!$H$71,"")</f>
        <v>16700000</v>
      </c>
      <c r="C91">
        <f t="shared" si="3"/>
        <v>2</v>
      </c>
      <c r="D91" s="45">
        <f>IF(A92&gt;0,C91/'Output Report'!$H$70,"")</f>
        <v>2E-3</v>
      </c>
      <c r="E91" s="46">
        <f>IF(A92&gt;0,SUM($D$2:D91),"")</f>
        <v>0.99300000000000055</v>
      </c>
      <c r="F91" t="str">
        <f t="shared" si="4"/>
        <v/>
      </c>
      <c r="G91" t="str">
        <f t="shared" si="5"/>
        <v/>
      </c>
      <c r="Q91" t="str">
        <f ca="1"/>
        <v/>
      </c>
    </row>
    <row r="92" spans="1:17" x14ac:dyDescent="0.3">
      <c r="A92">
        <f>IF('Output Report'!$H$71+2&gt;ROW(A91),ROW(A91),0)</f>
        <v>91</v>
      </c>
      <c r="B92">
        <f>IF(AND(A92&gt;0,A92&lt;='Output Report'!$H$71+1),B91+MC_hist!$M$11/'Output Report'!$H$71,"")</f>
        <v>17000000</v>
      </c>
      <c r="C92">
        <f t="shared" si="3"/>
        <v>0</v>
      </c>
      <c r="D92" s="45">
        <f>IF(A93&gt;0,C92/'Output Report'!$H$70,"")</f>
        <v>0</v>
      </c>
      <c r="E92" s="46">
        <f>IF(A93&gt;0,SUM($D$2:D92),"")</f>
        <v>0.99300000000000055</v>
      </c>
      <c r="F92" t="str">
        <f t="shared" si="4"/>
        <v/>
      </c>
      <c r="G92" t="str">
        <f t="shared" si="5"/>
        <v/>
      </c>
      <c r="Q92" t="str">
        <f ca="1"/>
        <v/>
      </c>
    </row>
    <row r="93" spans="1:17" x14ac:dyDescent="0.3">
      <c r="A93">
        <f>IF('Output Report'!$H$71+2&gt;ROW(A92),ROW(A92),0)</f>
        <v>92</v>
      </c>
      <c r="B93">
        <f>IF(AND(A93&gt;0,A93&lt;='Output Report'!$H$71+1),B92+MC_hist!$M$11/'Output Report'!$H$71,"")</f>
        <v>17300000</v>
      </c>
      <c r="C93">
        <f t="shared" si="3"/>
        <v>4</v>
      </c>
      <c r="D93" s="45">
        <f>IF(A94&gt;0,C93/'Output Report'!$H$70,"")</f>
        <v>4.0000000000000001E-3</v>
      </c>
      <c r="E93" s="46">
        <f>IF(A94&gt;0,SUM($D$2:D93),"")</f>
        <v>0.99700000000000055</v>
      </c>
      <c r="F93" t="str">
        <f t="shared" si="4"/>
        <v/>
      </c>
      <c r="G93" t="str">
        <f t="shared" si="5"/>
        <v/>
      </c>
      <c r="Q93" t="str">
        <f ca="1"/>
        <v/>
      </c>
    </row>
    <row r="94" spans="1:17" x14ac:dyDescent="0.3">
      <c r="A94">
        <f>IF('Output Report'!$H$71+2&gt;ROW(A93),ROW(A93),0)</f>
        <v>93</v>
      </c>
      <c r="B94">
        <f>IF(AND(A94&gt;0,A94&lt;='Output Report'!$H$71+1),B93+MC_hist!$M$11/'Output Report'!$H$71,"")</f>
        <v>17600000</v>
      </c>
      <c r="C94">
        <f t="shared" si="3"/>
        <v>1</v>
      </c>
      <c r="D94" s="45">
        <f>IF(A95&gt;0,C94/'Output Report'!$H$70,"")</f>
        <v>1E-3</v>
      </c>
      <c r="E94" s="46">
        <f>IF(A95&gt;0,SUM($D$2:D94),"")</f>
        <v>0.99800000000000055</v>
      </c>
      <c r="F94" t="str">
        <f t="shared" si="4"/>
        <v/>
      </c>
      <c r="G94" t="str">
        <f t="shared" si="5"/>
        <v/>
      </c>
      <c r="Q94" t="str">
        <f ca="1"/>
        <v/>
      </c>
    </row>
    <row r="95" spans="1:17" x14ac:dyDescent="0.3">
      <c r="A95">
        <f>IF('Output Report'!$H$71+2&gt;ROW(A94),ROW(A94),0)</f>
        <v>94</v>
      </c>
      <c r="B95">
        <f>IF(AND(A95&gt;0,A95&lt;='Output Report'!$H$71+1),B94+MC_hist!$M$11/'Output Report'!$H$71,"")</f>
        <v>17900000</v>
      </c>
      <c r="C95">
        <f t="shared" si="3"/>
        <v>1</v>
      </c>
      <c r="D95" s="45">
        <f>IF(A96&gt;0,C95/'Output Report'!$H$70,"")</f>
        <v>1E-3</v>
      </c>
      <c r="E95" s="46">
        <f>IF(A96&gt;0,SUM($D$2:D95),"")</f>
        <v>0.99900000000000055</v>
      </c>
      <c r="F95" t="str">
        <f t="shared" si="4"/>
        <v/>
      </c>
      <c r="G95" t="str">
        <f t="shared" si="5"/>
        <v/>
      </c>
      <c r="Q95" t="str">
        <f ca="1"/>
        <v/>
      </c>
    </row>
    <row r="96" spans="1:17" x14ac:dyDescent="0.3">
      <c r="A96">
        <f>IF('Output Report'!$H$71+2&gt;ROW(A95),ROW(A95),0)</f>
        <v>95</v>
      </c>
      <c r="B96">
        <f>IF(AND(A96&gt;0,A96&lt;='Output Report'!$H$71+1),B95+MC_hist!$M$11/'Output Report'!$H$71,"")</f>
        <v>18200000</v>
      </c>
      <c r="C96">
        <f t="shared" si="3"/>
        <v>0</v>
      </c>
      <c r="D96" s="45">
        <f>IF(A97&gt;0,C96/'Output Report'!$H$70,"")</f>
        <v>0</v>
      </c>
      <c r="E96" s="46">
        <f>IF(A97&gt;0,SUM($D$2:D96),"")</f>
        <v>0.99900000000000055</v>
      </c>
      <c r="F96" t="str">
        <f t="shared" si="4"/>
        <v/>
      </c>
      <c r="G96" t="str">
        <f t="shared" si="5"/>
        <v/>
      </c>
      <c r="Q96" t="str">
        <f ca="1"/>
        <v/>
      </c>
    </row>
    <row r="97" spans="1:17" x14ac:dyDescent="0.3">
      <c r="A97">
        <f>IF('Output Report'!$H$71+2&gt;ROW(A96),ROW(A96),0)</f>
        <v>96</v>
      </c>
      <c r="B97">
        <f>IF(AND(A97&gt;0,A97&lt;='Output Report'!$H$71+1),B96+MC_hist!$M$11/'Output Report'!$H$71,"")</f>
        <v>18500000</v>
      </c>
      <c r="C97">
        <f t="shared" si="3"/>
        <v>0</v>
      </c>
      <c r="D97" s="45">
        <f>IF(A98&gt;0,C97/'Output Report'!$H$70,"")</f>
        <v>0</v>
      </c>
      <c r="E97" s="46">
        <f>IF(A98&gt;0,SUM($D$2:D97),"")</f>
        <v>0.99900000000000055</v>
      </c>
      <c r="F97" t="str">
        <f t="shared" si="4"/>
        <v/>
      </c>
      <c r="G97" t="str">
        <f t="shared" si="5"/>
        <v/>
      </c>
      <c r="Q97" t="str">
        <f ca="1"/>
        <v/>
      </c>
    </row>
    <row r="98" spans="1:17" x14ac:dyDescent="0.3">
      <c r="A98">
        <f>IF('Output Report'!$H$71+2&gt;ROW(A97),ROW(A97),0)</f>
        <v>97</v>
      </c>
      <c r="B98">
        <f>IF(AND(A98&gt;0,A98&lt;='Output Report'!$H$71+1),B97+MC_hist!$M$11/'Output Report'!$H$71,"")</f>
        <v>18800000</v>
      </c>
      <c r="C98">
        <f t="shared" si="3"/>
        <v>1</v>
      </c>
      <c r="D98" s="45">
        <f>IF(A99&gt;0,C98/'Output Report'!$H$70,"")</f>
        <v>1E-3</v>
      </c>
      <c r="E98" s="46">
        <f>IF(A99&gt;0,SUM($D$2:D98),"")</f>
        <v>1.0000000000000004</v>
      </c>
      <c r="F98" t="str">
        <f t="shared" si="4"/>
        <v/>
      </c>
      <c r="G98" t="str">
        <f t="shared" si="5"/>
        <v/>
      </c>
      <c r="Q98" t="str">
        <f ca="1"/>
        <v/>
      </c>
    </row>
    <row r="99" spans="1:17" x14ac:dyDescent="0.3">
      <c r="A99">
        <f>IF('Output Report'!$H$71+2&gt;ROW(A98),ROW(A98),0)</f>
        <v>98</v>
      </c>
      <c r="B99">
        <f>IF(AND(A99&gt;0,A99&lt;='Output Report'!$H$71+1),B98+MC_hist!$M$11/'Output Report'!$H$71,"")</f>
        <v>19100000</v>
      </c>
      <c r="C99">
        <f t="shared" si="3"/>
        <v>0</v>
      </c>
      <c r="D99" s="45">
        <f>IF(A100&gt;0,C99/'Output Report'!$H$70,"")</f>
        <v>0</v>
      </c>
      <c r="E99" s="46">
        <f>IF(A100&gt;0,SUM($D$2:D99),"")</f>
        <v>1.0000000000000004</v>
      </c>
      <c r="F99" t="str">
        <f t="shared" si="4"/>
        <v/>
      </c>
      <c r="G99" t="str">
        <f t="shared" si="5"/>
        <v/>
      </c>
      <c r="Q99" t="str">
        <f ca="1"/>
        <v/>
      </c>
    </row>
    <row r="100" spans="1:17" x14ac:dyDescent="0.3">
      <c r="A100">
        <f>IF('Output Report'!$H$71+2&gt;ROW(A99),ROW(A99),0)</f>
        <v>99</v>
      </c>
      <c r="B100">
        <f>IF(AND(A100&gt;0,A100&lt;='Output Report'!$H$71+1),B99+MC_hist!$M$11/'Output Report'!$H$71,"")</f>
        <v>19400000</v>
      </c>
      <c r="C100">
        <f t="shared" si="3"/>
        <v>0</v>
      </c>
      <c r="D100" s="45">
        <f>IF(A101&gt;0,C100/'Output Report'!$H$70,"")</f>
        <v>0</v>
      </c>
      <c r="E100" s="46">
        <f>IF(A101&gt;0,SUM($D$2:D100),"")</f>
        <v>1.0000000000000004</v>
      </c>
      <c r="F100" t="str">
        <f t="shared" si="4"/>
        <v/>
      </c>
      <c r="G100" t="str">
        <f t="shared" si="5"/>
        <v/>
      </c>
      <c r="Q100" t="str">
        <f ca="1"/>
        <v/>
      </c>
    </row>
    <row r="101" spans="1:17" x14ac:dyDescent="0.3">
      <c r="A101">
        <f>IF('Output Report'!$H$71+2&gt;ROW(A100),ROW(A100),0)</f>
        <v>100</v>
      </c>
      <c r="B101">
        <f>IF(AND(A101&gt;0,A101&lt;='Output Report'!$H$71+1),B100+MC_hist!$M$11/'Output Report'!$H$71,"")</f>
        <v>19700000</v>
      </c>
      <c r="C101">
        <f t="shared" si="3"/>
        <v>0</v>
      </c>
      <c r="D101" s="45">
        <f>IF(A102&gt;0,C101/'Output Report'!$H$70,"")</f>
        <v>0</v>
      </c>
      <c r="E101" s="46">
        <f>IF(A102&gt;0,SUM($D$2:D101),"")</f>
        <v>1.0000000000000004</v>
      </c>
      <c r="F101" t="str">
        <f t="shared" si="4"/>
        <v/>
      </c>
      <c r="G101" t="str">
        <f t="shared" si="5"/>
        <v/>
      </c>
      <c r="Q101" t="str">
        <f ca="1"/>
        <v/>
      </c>
    </row>
    <row r="102" spans="1:17" x14ac:dyDescent="0.3">
      <c r="A102">
        <f>IF('Output Report'!$H$71+2&gt;ROW(A101),ROW(A101),0)</f>
        <v>101</v>
      </c>
      <c r="B102">
        <f>IF(AND(A102&gt;0,A102&lt;='Output Report'!$H$71+1),B101+MC_hist!$M$11/'Output Report'!$H$71,"")</f>
        <v>20000000</v>
      </c>
      <c r="C102" t="str">
        <f t="shared" si="3"/>
        <v/>
      </c>
      <c r="D102" s="45" t="str">
        <f>IF(A103&gt;0,C102/'Output Report'!$H$70,"")</f>
        <v/>
      </c>
      <c r="E102" s="46" t="str">
        <f>IF(A103&gt;0,SUM($D$2:D102),"")</f>
        <v/>
      </c>
      <c r="F102" t="str">
        <f t="shared" si="4"/>
        <v/>
      </c>
      <c r="G102" t="str">
        <f t="shared" si="5"/>
        <v/>
      </c>
      <c r="Q102" t="str">
        <f ca="1"/>
        <v/>
      </c>
    </row>
    <row r="103" spans="1:17" x14ac:dyDescent="0.3">
      <c r="A103">
        <f>IF('Output Report'!$H$71+2&gt;ROW(A102),ROW(A102),0)</f>
        <v>0</v>
      </c>
      <c r="B103" t="str">
        <f>IF(AND(A103&gt;0,A103&lt;='Output Report'!$H$71+1),B102+MC_hist!$M$11/'Output Report'!$H$71,"")</f>
        <v/>
      </c>
      <c r="C103" t="str">
        <f t="shared" si="3"/>
        <v/>
      </c>
      <c r="D103" s="45" t="str">
        <f>IF(A104&gt;0,C103/'Output Report'!$H$70,"")</f>
        <v/>
      </c>
      <c r="E103" s="46" t="str">
        <f>IF(A104&gt;0,SUM($D$2:D103),"")</f>
        <v/>
      </c>
      <c r="F103" t="str">
        <f t="shared" si="4"/>
        <v/>
      </c>
      <c r="G103" t="str">
        <f t="shared" si="5"/>
        <v/>
      </c>
      <c r="Q103" t="str">
        <f ca="1"/>
        <v/>
      </c>
    </row>
    <row r="104" spans="1:17" x14ac:dyDescent="0.3">
      <c r="A104">
        <f>IF('Output Report'!$H$71+2&gt;ROW(A103),ROW(A103),0)</f>
        <v>0</v>
      </c>
      <c r="B104" t="str">
        <f>IF(AND(A104&gt;0,A104&lt;='Output Report'!$H$71+1),B103+MC_hist!$M$11/'Output Report'!$H$71,"")</f>
        <v/>
      </c>
      <c r="C104" t="str">
        <f t="shared" si="3"/>
        <v/>
      </c>
      <c r="D104" s="45" t="str">
        <f>IF(A105&gt;0,C104/'Output Report'!$H$70,"")</f>
        <v/>
      </c>
      <c r="E104" s="46" t="str">
        <f>IF(A105&gt;0,SUM($D$2:D104),"")</f>
        <v/>
      </c>
      <c r="F104" t="str">
        <f t="shared" si="4"/>
        <v/>
      </c>
      <c r="G104" t="str">
        <f t="shared" si="5"/>
        <v/>
      </c>
      <c r="Q104" t="str">
        <f ca="1"/>
        <v/>
      </c>
    </row>
    <row r="105" spans="1:17" x14ac:dyDescent="0.3">
      <c r="A105">
        <f>IF('Output Report'!$H$71+2&gt;ROW(A104),ROW(A104),0)</f>
        <v>0</v>
      </c>
      <c r="B105" t="str">
        <f>IF(AND(A105&gt;0,A105&lt;='Output Report'!$H$71+1),B104+MC_hist!$M$11/'Output Report'!$H$71,"")</f>
        <v/>
      </c>
      <c r="C105" t="str">
        <f t="shared" si="3"/>
        <v/>
      </c>
      <c r="D105" s="45" t="str">
        <f>IF(A106&gt;0,C105/'Output Report'!$H$70,"")</f>
        <v/>
      </c>
      <c r="E105" s="46" t="str">
        <f>IF(A106&gt;0,SUM($D$2:D105),"")</f>
        <v/>
      </c>
      <c r="F105" t="str">
        <f t="shared" si="4"/>
        <v/>
      </c>
      <c r="G105" t="str">
        <f t="shared" si="5"/>
        <v/>
      </c>
      <c r="Q105" t="str">
        <f ca="1"/>
        <v/>
      </c>
    </row>
    <row r="106" spans="1:17" x14ac:dyDescent="0.3">
      <c r="A106">
        <f>IF('Output Report'!$H$71+2&gt;ROW(A105),ROW(A105),0)</f>
        <v>0</v>
      </c>
      <c r="B106" t="str">
        <f>IF(AND(A106&gt;0,A106&lt;='Output Report'!$H$71+1),B105+MC_hist!$M$11/'Output Report'!$H$71,"")</f>
        <v/>
      </c>
      <c r="C106" t="str">
        <f t="shared" si="3"/>
        <v/>
      </c>
      <c r="D106" s="45" t="str">
        <f>IF(A107&gt;0,C106/'Output Report'!$H$70,"")</f>
        <v/>
      </c>
      <c r="E106" s="46" t="str">
        <f>IF(A107&gt;0,SUM($D$2:D106),"")</f>
        <v/>
      </c>
      <c r="F106" t="str">
        <f t="shared" si="4"/>
        <v/>
      </c>
      <c r="G106" t="str">
        <f t="shared" si="5"/>
        <v/>
      </c>
    </row>
    <row r="107" spans="1:17" x14ac:dyDescent="0.3">
      <c r="A107">
        <f>IF('Output Report'!$H$71+2&gt;ROW(A106),ROW(A106),0)</f>
        <v>0</v>
      </c>
      <c r="B107" t="str">
        <f>IF(AND(A107&gt;0,A107&lt;='Output Report'!$H$71+1),B106+MC_hist!$M$11/'Output Report'!$H$71,"")</f>
        <v/>
      </c>
      <c r="C107" t="str">
        <f t="shared" si="3"/>
        <v/>
      </c>
      <c r="D107" s="45" t="str">
        <f>IF(A108&gt;0,C107/'Output Report'!$H$70,"")</f>
        <v/>
      </c>
      <c r="E107" s="46" t="str">
        <f>IF(A108&gt;0,SUM($D$2:D107),"")</f>
        <v/>
      </c>
      <c r="F107" t="str">
        <f t="shared" si="4"/>
        <v/>
      </c>
      <c r="G107" t="str">
        <f t="shared" si="5"/>
        <v/>
      </c>
    </row>
    <row r="108" spans="1:17" x14ac:dyDescent="0.3">
      <c r="A108">
        <f>IF('Output Report'!$H$71+2&gt;ROW(A107),ROW(A107),0)</f>
        <v>0</v>
      </c>
      <c r="B108" t="str">
        <f>IF(AND(A108&gt;0,A108&lt;='Output Report'!$H$71+1),B107+MC_hist!$M$11/'Output Report'!$H$71,"")</f>
        <v/>
      </c>
      <c r="C108" t="str">
        <f t="shared" si="3"/>
        <v/>
      </c>
      <c r="D108" s="45" t="str">
        <f>IF(A109&gt;0,C108/'Output Report'!$H$70,"")</f>
        <v/>
      </c>
      <c r="E108" s="46" t="str">
        <f>IF(A109&gt;0,SUM($D$2:D108),"")</f>
        <v/>
      </c>
      <c r="F108" t="str">
        <f t="shared" si="4"/>
        <v/>
      </c>
      <c r="G108" t="str">
        <f t="shared" si="5"/>
        <v/>
      </c>
    </row>
    <row r="109" spans="1:17" x14ac:dyDescent="0.3">
      <c r="A109">
        <f>IF('Output Report'!$H$71+2&gt;ROW(A108),ROW(A108),0)</f>
        <v>0</v>
      </c>
      <c r="B109" t="str">
        <f>IF(AND(A109&gt;0,A109&lt;='Output Report'!$H$71+1),B108+MC_hist!$M$11/'Output Report'!$H$71,"")</f>
        <v/>
      </c>
      <c r="C109" t="str">
        <f t="shared" si="3"/>
        <v/>
      </c>
      <c r="D109" s="45" t="str">
        <f>IF(A110&gt;0,C109/'Output Report'!$H$70,"")</f>
        <v/>
      </c>
      <c r="E109" s="46" t="str">
        <f>IF(A110&gt;0,SUM($D$2:D109),"")</f>
        <v/>
      </c>
      <c r="F109" t="str">
        <f t="shared" si="4"/>
        <v/>
      </c>
      <c r="G109" t="str">
        <f t="shared" si="5"/>
        <v/>
      </c>
    </row>
    <row r="110" spans="1:17" x14ac:dyDescent="0.3">
      <c r="A110">
        <f>IF('Output Report'!$H$71+2&gt;ROW(A109),ROW(A109),0)</f>
        <v>0</v>
      </c>
      <c r="B110" t="str">
        <f>IF(AND(A110&gt;0,A110&lt;='Output Report'!$H$71+1),B109+MC_hist!$M$11/'Output Report'!$H$71,"")</f>
        <v/>
      </c>
      <c r="C110" t="str">
        <f t="shared" si="3"/>
        <v/>
      </c>
      <c r="D110" s="45" t="str">
        <f>IF(A111&gt;0,C110/'Output Report'!$H$70,"")</f>
        <v/>
      </c>
      <c r="E110" s="46" t="str">
        <f>IF(A111&gt;0,SUM($D$2:D110),"")</f>
        <v/>
      </c>
      <c r="F110" t="str">
        <f t="shared" si="4"/>
        <v/>
      </c>
      <c r="G110" t="str">
        <f t="shared" si="5"/>
        <v/>
      </c>
    </row>
    <row r="111" spans="1:17" x14ac:dyDescent="0.3">
      <c r="A111">
        <f>IF('Output Report'!$H$71+2&gt;ROW(A110),ROW(A110),0)</f>
        <v>0</v>
      </c>
      <c r="B111" t="str">
        <f>IF(AND(A111&gt;0,A111&lt;='Output Report'!$H$71+1),B110+MC_hist!$M$11/'Output Report'!$H$71,"")</f>
        <v/>
      </c>
      <c r="C111" t="str">
        <f t="shared" si="3"/>
        <v/>
      </c>
      <c r="D111" s="45" t="str">
        <f>IF(A112&gt;0,C111/'Output Report'!$H$70,"")</f>
        <v/>
      </c>
      <c r="E111" s="46" t="str">
        <f>IF(A112&gt;0,SUM($D$2:D111),"")</f>
        <v/>
      </c>
      <c r="F111" t="str">
        <f t="shared" si="4"/>
        <v/>
      </c>
      <c r="G111" t="str">
        <f t="shared" si="5"/>
        <v/>
      </c>
    </row>
    <row r="112" spans="1:17" x14ac:dyDescent="0.3">
      <c r="A112">
        <f>IF('Output Report'!$H$71+2&gt;ROW(A111),ROW(A111),0)</f>
        <v>0</v>
      </c>
      <c r="B112" t="str">
        <f>IF(AND(A112&gt;0,A112&lt;='Output Report'!$H$71+1),B111+MC_hist!$M$11/'Output Report'!$H$71,"")</f>
        <v/>
      </c>
      <c r="C112" t="str">
        <f t="shared" si="3"/>
        <v/>
      </c>
      <c r="D112" s="45" t="str">
        <f>IF(A113&gt;0,C112/'Output Report'!$H$70,"")</f>
        <v/>
      </c>
      <c r="E112" s="46" t="str">
        <f>IF(A113&gt;0,SUM($D$2:D112),"")</f>
        <v/>
      </c>
      <c r="F112" t="str">
        <f t="shared" si="4"/>
        <v/>
      </c>
      <c r="G112" t="str">
        <f t="shared" si="5"/>
        <v/>
      </c>
    </row>
    <row r="113" spans="1:7" x14ac:dyDescent="0.3">
      <c r="A113">
        <f>IF('Output Report'!$H$71+2&gt;ROW(A112),ROW(A112),0)</f>
        <v>0</v>
      </c>
      <c r="B113" t="str">
        <f>IF(AND(A113&gt;0,A113&lt;='Output Report'!$H$71+1),B112+MC_hist!$M$11/'Output Report'!$H$71,"")</f>
        <v/>
      </c>
      <c r="C113" t="str">
        <f t="shared" si="3"/>
        <v/>
      </c>
      <c r="D113" s="45" t="str">
        <f>IF(A114&gt;0,C113/'Output Report'!$H$70,"")</f>
        <v/>
      </c>
      <c r="E113" s="46" t="str">
        <f>IF(A114&gt;0,SUM($D$2:D113),"")</f>
        <v/>
      </c>
      <c r="F113" t="str">
        <f t="shared" si="4"/>
        <v/>
      </c>
      <c r="G113" t="str">
        <f t="shared" si="5"/>
        <v/>
      </c>
    </row>
    <row r="114" spans="1:7" x14ac:dyDescent="0.3">
      <c r="A114">
        <f>IF('Output Report'!$H$71+2&gt;ROW(A113),ROW(A113),0)</f>
        <v>0</v>
      </c>
      <c r="B114" t="str">
        <f>IF(AND(A114&gt;0,A114&lt;='Output Report'!$H$71+1),B113+MC_hist!$M$11/'Output Report'!$H$71,"")</f>
        <v/>
      </c>
      <c r="C114" t="str">
        <f t="shared" si="3"/>
        <v/>
      </c>
      <c r="D114" s="45" t="str">
        <f>IF(A115&gt;0,C114/'Output Report'!$H$70,"")</f>
        <v/>
      </c>
      <c r="E114" s="46" t="str">
        <f>IF(A115&gt;0,SUM($D$2:D114),"")</f>
        <v/>
      </c>
      <c r="F114" t="str">
        <f t="shared" si="4"/>
        <v/>
      </c>
      <c r="G114" t="str">
        <f t="shared" si="5"/>
        <v/>
      </c>
    </row>
    <row r="115" spans="1:7" x14ac:dyDescent="0.3">
      <c r="A115">
        <f>IF('Output Report'!$H$71+2&gt;ROW(A114),ROW(A114),0)</f>
        <v>0</v>
      </c>
      <c r="B115" t="str">
        <f>IF(AND(A115&gt;0,A115&lt;='Output Report'!$H$71+1),B114+MC_hist!$M$11/'Output Report'!$H$71,"")</f>
        <v/>
      </c>
      <c r="C115" t="str">
        <f t="shared" si="3"/>
        <v/>
      </c>
      <c r="D115" s="45" t="str">
        <f>IF(A116&gt;0,C115/'Output Report'!$H$70,"")</f>
        <v/>
      </c>
      <c r="E115" s="46" t="str">
        <f>IF(A116&gt;0,SUM($D$2:D115),"")</f>
        <v/>
      </c>
      <c r="F115" t="str">
        <f t="shared" si="4"/>
        <v/>
      </c>
      <c r="G115" t="str">
        <f t="shared" si="5"/>
        <v/>
      </c>
    </row>
    <row r="116" spans="1:7" x14ac:dyDescent="0.3">
      <c r="A116">
        <f>IF('Output Report'!$H$71+2&gt;ROW(A115),ROW(A115),0)</f>
        <v>0</v>
      </c>
      <c r="B116" t="str">
        <f>IF(AND(A116&gt;0,A116&lt;='Output Report'!$H$71+1),B115+MC_hist!$M$11/'Output Report'!$H$71,"")</f>
        <v/>
      </c>
      <c r="C116" t="str">
        <f t="shared" si="3"/>
        <v/>
      </c>
      <c r="D116" s="45" t="str">
        <f>IF(A117&gt;0,C116/'Output Report'!$H$70,"")</f>
        <v/>
      </c>
      <c r="E116" s="46" t="str">
        <f>IF(A117&gt;0,SUM($D$2:D116),"")</f>
        <v/>
      </c>
      <c r="F116" t="str">
        <f t="shared" si="4"/>
        <v/>
      </c>
      <c r="G116" t="str">
        <f t="shared" si="5"/>
        <v/>
      </c>
    </row>
    <row r="117" spans="1:7" x14ac:dyDescent="0.3">
      <c r="A117">
        <f>IF('Output Report'!$H$71+2&gt;ROW(A116),ROW(A116),0)</f>
        <v>0</v>
      </c>
      <c r="B117" t="str">
        <f>IF(AND(A117&gt;0,A117&lt;='Output Report'!$H$71+1),B116+MC_hist!$M$11/'Output Report'!$H$71,"")</f>
        <v/>
      </c>
      <c r="C117" t="str">
        <f t="shared" si="3"/>
        <v/>
      </c>
      <c r="D117" s="45" t="str">
        <f>IF(A118&gt;0,C117/'Output Report'!$H$70,"")</f>
        <v/>
      </c>
      <c r="E117" s="46" t="str">
        <f>IF(A118&gt;0,SUM($D$2:D117),"")</f>
        <v/>
      </c>
      <c r="F117" t="str">
        <f t="shared" si="4"/>
        <v/>
      </c>
      <c r="G117" t="str">
        <f t="shared" si="5"/>
        <v/>
      </c>
    </row>
    <row r="118" spans="1:7" x14ac:dyDescent="0.3">
      <c r="A118">
        <f>IF('Output Report'!$H$71+2&gt;ROW(A117),ROW(A117),0)</f>
        <v>0</v>
      </c>
      <c r="B118" t="str">
        <f>IF(AND(A118&gt;0,A118&lt;='Output Report'!$H$71+1),B117+MC_hist!$M$11/'Output Report'!$H$71,"")</f>
        <v/>
      </c>
      <c r="C118" t="str">
        <f t="shared" si="3"/>
        <v/>
      </c>
      <c r="D118" s="45" t="str">
        <f>IF(A119&gt;0,C118/'Output Report'!$H$70,"")</f>
        <v/>
      </c>
      <c r="E118" s="46" t="str">
        <f>IF(A119&gt;0,SUM($D$2:D118),"")</f>
        <v/>
      </c>
      <c r="F118" t="str">
        <f t="shared" si="4"/>
        <v/>
      </c>
      <c r="G118" t="str">
        <f t="shared" si="5"/>
        <v/>
      </c>
    </row>
    <row r="119" spans="1:7" x14ac:dyDescent="0.3">
      <c r="A119">
        <f>IF('Output Report'!$H$71+2&gt;ROW(A118),ROW(A118),0)</f>
        <v>0</v>
      </c>
      <c r="B119" t="str">
        <f>IF(AND(A119&gt;0,A119&lt;='Output Report'!$H$71+1),B118+MC_hist!$M$11/'Output Report'!$H$71,"")</f>
        <v/>
      </c>
      <c r="C119" t="str">
        <f t="shared" si="3"/>
        <v/>
      </c>
      <c r="D119" s="45" t="str">
        <f>IF(A120&gt;0,C119/'Output Report'!$H$70,"")</f>
        <v/>
      </c>
      <c r="E119" s="46" t="str">
        <f>IF(A120&gt;0,SUM($D$2:D119),"")</f>
        <v/>
      </c>
      <c r="F119" t="str">
        <f t="shared" si="4"/>
        <v/>
      </c>
      <c r="G119" t="str">
        <f t="shared" si="5"/>
        <v/>
      </c>
    </row>
    <row r="120" spans="1:7" x14ac:dyDescent="0.3">
      <c r="A120">
        <f>IF('Output Report'!$H$71+2&gt;ROW(A119),ROW(A119),0)</f>
        <v>0</v>
      </c>
      <c r="B120" t="str">
        <f>IF(AND(A120&gt;0,A120&lt;='Output Report'!$H$71+1),B119+MC_hist!$M$11/'Output Report'!$H$71,"")</f>
        <v/>
      </c>
      <c r="C120" t="str">
        <f t="shared" si="3"/>
        <v/>
      </c>
      <c r="D120" s="45" t="str">
        <f>IF(A121&gt;0,C120/'Output Report'!$H$70,"")</f>
        <v/>
      </c>
      <c r="E120" s="46" t="str">
        <f>IF(A121&gt;0,SUM($D$2:D120),"")</f>
        <v/>
      </c>
      <c r="F120" t="str">
        <f t="shared" si="4"/>
        <v/>
      </c>
      <c r="G120" t="str">
        <f t="shared" si="5"/>
        <v/>
      </c>
    </row>
    <row r="121" spans="1:7" x14ac:dyDescent="0.3">
      <c r="A121">
        <f>IF('Output Report'!$H$71+2&gt;ROW(A120),ROW(A120),0)</f>
        <v>0</v>
      </c>
      <c r="B121" t="str">
        <f>IF(AND(A121&gt;0,A121&lt;='Output Report'!$H$71+1),B120+MC_hist!$M$11/'Output Report'!$H$71,"")</f>
        <v/>
      </c>
      <c r="C121" t="str">
        <f t="shared" si="3"/>
        <v/>
      </c>
      <c r="D121" s="45" t="str">
        <f>IF(A122&gt;0,C121/'Output Report'!$H$70,"")</f>
        <v/>
      </c>
      <c r="E121" s="46" t="str">
        <f>IF(A122&gt;0,SUM($D$2:D121),"")</f>
        <v/>
      </c>
      <c r="F121" t="str">
        <f t="shared" si="4"/>
        <v/>
      </c>
      <c r="G121" t="str">
        <f t="shared" si="5"/>
        <v/>
      </c>
    </row>
    <row r="122" spans="1:7" x14ac:dyDescent="0.3">
      <c r="A122">
        <f>IF('Output Report'!$H$71+2&gt;ROW(A121),ROW(A121),0)</f>
        <v>0</v>
      </c>
      <c r="B122" t="str">
        <f>IF(AND(A122&gt;0,A122&lt;='Output Report'!$H$71+1),B121+MC_hist!$M$11/'Output Report'!$H$71,"")</f>
        <v/>
      </c>
      <c r="C122" t="str">
        <f t="shared" si="3"/>
        <v/>
      </c>
      <c r="D122" s="45" t="str">
        <f>IF(A123&gt;0,C122/'Output Report'!$H$70,"")</f>
        <v/>
      </c>
      <c r="E122" s="46" t="str">
        <f>IF(A123&gt;0,SUM($D$2:D122),"")</f>
        <v/>
      </c>
      <c r="F122" t="str">
        <f t="shared" si="4"/>
        <v/>
      </c>
      <c r="G122" t="str">
        <f t="shared" si="5"/>
        <v/>
      </c>
    </row>
    <row r="123" spans="1:7" x14ac:dyDescent="0.3">
      <c r="A123">
        <f>IF('Output Report'!$H$71+2&gt;ROW(A122),ROW(A122),0)</f>
        <v>0</v>
      </c>
      <c r="B123" t="str">
        <f>IF(AND(A123&gt;0,A123&lt;='Output Report'!$H$71+1),B122+MC_hist!$M$11/'Output Report'!$H$71,"")</f>
        <v/>
      </c>
      <c r="C123" t="str">
        <f t="shared" si="3"/>
        <v/>
      </c>
      <c r="D123" s="45" t="str">
        <f>IF(A124&gt;0,C123/'Output Report'!$H$70,"")</f>
        <v/>
      </c>
      <c r="E123" s="46" t="str">
        <f>IF(A124&gt;0,SUM($D$2:D123),"")</f>
        <v/>
      </c>
      <c r="F123" t="str">
        <f t="shared" si="4"/>
        <v/>
      </c>
      <c r="G123" t="str">
        <f t="shared" si="5"/>
        <v/>
      </c>
    </row>
    <row r="124" spans="1:7" x14ac:dyDescent="0.3">
      <c r="A124">
        <f>IF('Output Report'!$H$71+2&gt;ROW(A123),ROW(A123),0)</f>
        <v>0</v>
      </c>
      <c r="B124" t="str">
        <f>IF(AND(A124&gt;0,A124&lt;='Output Report'!$H$71+1),B123+MC_hist!$M$11/'Output Report'!$H$71,"")</f>
        <v/>
      </c>
      <c r="C124" t="str">
        <f t="shared" si="3"/>
        <v/>
      </c>
      <c r="D124" s="45" t="str">
        <f>IF(A125&gt;0,C124/'Output Report'!$H$70,"")</f>
        <v/>
      </c>
      <c r="E124" s="46" t="str">
        <f>IF(A125&gt;0,SUM($D$2:D124),"")</f>
        <v/>
      </c>
      <c r="F124" t="str">
        <f t="shared" si="4"/>
        <v/>
      </c>
      <c r="G124" t="str">
        <f t="shared" si="5"/>
        <v/>
      </c>
    </row>
    <row r="125" spans="1:7" x14ac:dyDescent="0.3">
      <c r="A125">
        <f>IF('Output Report'!$H$71+2&gt;ROW(A124),ROW(A124),0)</f>
        <v>0</v>
      </c>
      <c r="B125" t="str">
        <f>IF(AND(A125&gt;0,A125&lt;='Output Report'!$H$71+1),B124+MC_hist!$M$11/'Output Report'!$H$71,"")</f>
        <v/>
      </c>
      <c r="C125" t="str">
        <f t="shared" si="3"/>
        <v/>
      </c>
      <c r="D125" s="45" t="str">
        <f>IF(A126&gt;0,C125/'Output Report'!$H$70,"")</f>
        <v/>
      </c>
      <c r="E125" s="46" t="str">
        <f>IF(A126&gt;0,SUM($D$2:D125),"")</f>
        <v/>
      </c>
      <c r="F125" t="str">
        <f t="shared" si="4"/>
        <v/>
      </c>
      <c r="G125" t="str">
        <f t="shared" si="5"/>
        <v/>
      </c>
    </row>
    <row r="126" spans="1:7" x14ac:dyDescent="0.3">
      <c r="A126">
        <f>IF('Output Report'!$H$71+2&gt;ROW(A125),ROW(A125),0)</f>
        <v>0</v>
      </c>
      <c r="B126" t="str">
        <f>IF(AND(A126&gt;0,A126&lt;='Output Report'!$H$71+1),B125+MC_hist!$M$11/'Output Report'!$H$71,"")</f>
        <v/>
      </c>
      <c r="C126" t="str">
        <f t="shared" si="3"/>
        <v/>
      </c>
      <c r="D126" s="45" t="str">
        <f>IF(A127&gt;0,C126/'Output Report'!$H$70,"")</f>
        <v/>
      </c>
      <c r="E126" s="46" t="str">
        <f>IF(A127&gt;0,SUM($D$2:D126),"")</f>
        <v/>
      </c>
      <c r="F126" t="str">
        <f t="shared" si="4"/>
        <v/>
      </c>
      <c r="G126" t="str">
        <f t="shared" si="5"/>
        <v/>
      </c>
    </row>
    <row r="127" spans="1:7" x14ac:dyDescent="0.3">
      <c r="A127">
        <f>IF('Output Report'!$H$71+2&gt;ROW(A126),ROW(A126),0)</f>
        <v>0</v>
      </c>
      <c r="B127" t="str">
        <f>IF(AND(A127&gt;0,A127&lt;='Output Report'!$H$71+1),B126+MC_hist!$M$11/'Output Report'!$H$71,"")</f>
        <v/>
      </c>
      <c r="C127" t="str">
        <f t="shared" si="3"/>
        <v/>
      </c>
      <c r="D127" s="45" t="str">
        <f>IF(A128&gt;0,C127/'Output Report'!$H$70,"")</f>
        <v/>
      </c>
      <c r="E127" s="46" t="str">
        <f>IF(A128&gt;0,SUM($D$2:D127),"")</f>
        <v/>
      </c>
      <c r="F127" t="str">
        <f t="shared" si="4"/>
        <v/>
      </c>
      <c r="G127" t="str">
        <f t="shared" si="5"/>
        <v/>
      </c>
    </row>
    <row r="128" spans="1:7" x14ac:dyDescent="0.3">
      <c r="A128">
        <f>IF('Output Report'!$H$71+2&gt;ROW(A127),ROW(A127),0)</f>
        <v>0</v>
      </c>
      <c r="B128" t="str">
        <f>IF(AND(A128&gt;0,A128&lt;='Output Report'!$H$71+1),B127+MC_hist!$M$11/'Output Report'!$H$71,"")</f>
        <v/>
      </c>
      <c r="C128" t="str">
        <f t="shared" si="3"/>
        <v/>
      </c>
      <c r="D128" s="45" t="str">
        <f>IF(A129&gt;0,C128/'Output Report'!$H$70,"")</f>
        <v/>
      </c>
      <c r="E128" s="46" t="str">
        <f>IF(A129&gt;0,SUM($D$2:D128),"")</f>
        <v/>
      </c>
      <c r="F128" t="str">
        <f t="shared" si="4"/>
        <v/>
      </c>
      <c r="G128" t="str">
        <f t="shared" si="5"/>
        <v/>
      </c>
    </row>
    <row r="129" spans="1:7" x14ac:dyDescent="0.3">
      <c r="A129">
        <f>IF('Output Report'!$H$71+2&gt;ROW(A128),ROW(A128),0)</f>
        <v>0</v>
      </c>
      <c r="B129" t="str">
        <f>IF(AND(A129&gt;0,A129&lt;='Output Report'!$H$71+1),B128+MC_hist!$M$11/'Output Report'!$H$71,"")</f>
        <v/>
      </c>
      <c r="C129" t="str">
        <f t="shared" si="3"/>
        <v/>
      </c>
      <c r="D129" s="45" t="str">
        <f>IF(A130&gt;0,C129/'Output Report'!$H$70,"")</f>
        <v/>
      </c>
      <c r="E129" s="46" t="str">
        <f>IF(A130&gt;0,SUM($D$2:D129),"")</f>
        <v/>
      </c>
      <c r="F129" t="str">
        <f t="shared" si="4"/>
        <v/>
      </c>
      <c r="G129" t="str">
        <f t="shared" si="5"/>
        <v/>
      </c>
    </row>
    <row r="130" spans="1:7" x14ac:dyDescent="0.3">
      <c r="A130">
        <f>IF('Output Report'!$H$71+2&gt;ROW(A129),ROW(A129),0)</f>
        <v>0</v>
      </c>
      <c r="B130" t="str">
        <f>IF(AND(A130&gt;0,A130&lt;='Output Report'!$H$71+1),B129+MC_hist!$M$11/'Output Report'!$H$71,"")</f>
        <v/>
      </c>
      <c r="C130" t="str">
        <f t="shared" ref="C130:C193" si="6">IF(A131&gt;0,COUNTIFS(data_sim,"&gt;"&amp;B130,data_sim,"&lt;="&amp;B131),"")</f>
        <v/>
      </c>
      <c r="D130" s="45" t="str">
        <f>IF(A131&gt;0,C130/'Output Report'!$H$70,"")</f>
        <v/>
      </c>
      <c r="E130" s="46" t="str">
        <f>IF(A131&gt;0,SUM($D$2:D130),"")</f>
        <v/>
      </c>
      <c r="F130" t="str">
        <f t="shared" si="4"/>
        <v/>
      </c>
      <c r="G130" t="str">
        <f t="shared" si="5"/>
        <v/>
      </c>
    </row>
    <row r="131" spans="1:7" x14ac:dyDescent="0.3">
      <c r="A131">
        <f>IF('Output Report'!$H$71+2&gt;ROW(A130),ROW(A130),0)</f>
        <v>0</v>
      </c>
      <c r="B131" t="str">
        <f>IF(AND(A131&gt;0,A131&lt;='Output Report'!$H$71+1),B130+MC_hist!$M$11/'Output Report'!$H$71,"")</f>
        <v/>
      </c>
      <c r="C131" t="str">
        <f t="shared" si="6"/>
        <v/>
      </c>
      <c r="D131" s="45" t="str">
        <f>IF(A132&gt;0,C131/'Output Report'!$H$70,"")</f>
        <v/>
      </c>
      <c r="E131" s="46" t="str">
        <f>IF(A132&gt;0,SUM($D$2:D131),"")</f>
        <v/>
      </c>
      <c r="F131" t="str">
        <f t="shared" ref="F131:F194" si="7">IF(B131&lt;=0,D131,"")</f>
        <v/>
      </c>
      <c r="G131" t="str">
        <f t="shared" ref="G131:G194" si="8">IF(B131&lt;=0,E131,"")</f>
        <v/>
      </c>
    </row>
    <row r="132" spans="1:7" x14ac:dyDescent="0.3">
      <c r="A132">
        <f>IF('Output Report'!$H$71+2&gt;ROW(A131),ROW(A131),0)</f>
        <v>0</v>
      </c>
      <c r="B132" t="str">
        <f>IF(AND(A132&gt;0,A132&lt;='Output Report'!$H$71+1),B131+MC_hist!$M$11/'Output Report'!$H$71,"")</f>
        <v/>
      </c>
      <c r="C132" t="str">
        <f t="shared" si="6"/>
        <v/>
      </c>
      <c r="D132" s="45" t="str">
        <f>IF(A133&gt;0,C132/'Output Report'!$H$70,"")</f>
        <v/>
      </c>
      <c r="E132" s="46" t="str">
        <f>IF(A133&gt;0,SUM($D$2:D132),"")</f>
        <v/>
      </c>
      <c r="F132" t="str">
        <f t="shared" si="7"/>
        <v/>
      </c>
      <c r="G132" t="str">
        <f t="shared" si="8"/>
        <v/>
      </c>
    </row>
    <row r="133" spans="1:7" x14ac:dyDescent="0.3">
      <c r="A133">
        <f>IF('Output Report'!$H$71+2&gt;ROW(A132),ROW(A132),0)</f>
        <v>0</v>
      </c>
      <c r="B133" t="str">
        <f>IF(AND(A133&gt;0,A133&lt;='Output Report'!$H$71+1),B132+MC_hist!$M$11/'Output Report'!$H$71,"")</f>
        <v/>
      </c>
      <c r="C133" t="str">
        <f t="shared" si="6"/>
        <v/>
      </c>
      <c r="D133" s="45" t="str">
        <f>IF(A134&gt;0,C133/'Output Report'!$H$70,"")</f>
        <v/>
      </c>
      <c r="E133" s="46" t="str">
        <f>IF(A134&gt;0,SUM($D$2:D133),"")</f>
        <v/>
      </c>
      <c r="F133" t="str">
        <f t="shared" si="7"/>
        <v/>
      </c>
      <c r="G133" t="str">
        <f t="shared" si="8"/>
        <v/>
      </c>
    </row>
    <row r="134" spans="1:7" x14ac:dyDescent="0.3">
      <c r="A134">
        <f>IF('Output Report'!$H$71+2&gt;ROW(A133),ROW(A133),0)</f>
        <v>0</v>
      </c>
      <c r="B134" t="str">
        <f>IF(AND(A134&gt;0,A134&lt;='Output Report'!$H$71+1),B133+MC_hist!$M$11/'Output Report'!$H$71,"")</f>
        <v/>
      </c>
      <c r="C134" t="str">
        <f t="shared" si="6"/>
        <v/>
      </c>
      <c r="D134" s="45" t="str">
        <f>IF(A135&gt;0,C134/'Output Report'!$H$70,"")</f>
        <v/>
      </c>
      <c r="E134" s="46" t="str">
        <f>IF(A135&gt;0,SUM($D$2:D134),"")</f>
        <v/>
      </c>
      <c r="F134" t="str">
        <f t="shared" si="7"/>
        <v/>
      </c>
      <c r="G134" t="str">
        <f t="shared" si="8"/>
        <v/>
      </c>
    </row>
    <row r="135" spans="1:7" x14ac:dyDescent="0.3">
      <c r="A135">
        <f>IF('Output Report'!$H$71+2&gt;ROW(A134),ROW(A134),0)</f>
        <v>0</v>
      </c>
      <c r="B135" t="str">
        <f>IF(AND(A135&gt;0,A135&lt;='Output Report'!$H$71+1),B134+MC_hist!$M$11/'Output Report'!$H$71,"")</f>
        <v/>
      </c>
      <c r="C135" t="str">
        <f t="shared" si="6"/>
        <v/>
      </c>
      <c r="D135" s="45" t="str">
        <f>IF(A136&gt;0,C135/'Output Report'!$H$70,"")</f>
        <v/>
      </c>
      <c r="E135" s="46" t="str">
        <f>IF(A136&gt;0,SUM($D$2:D135),"")</f>
        <v/>
      </c>
      <c r="F135" t="str">
        <f t="shared" si="7"/>
        <v/>
      </c>
      <c r="G135" t="str">
        <f t="shared" si="8"/>
        <v/>
      </c>
    </row>
    <row r="136" spans="1:7" x14ac:dyDescent="0.3">
      <c r="A136">
        <f>IF('Output Report'!$H$71+2&gt;ROW(A135),ROW(A135),0)</f>
        <v>0</v>
      </c>
      <c r="B136" t="str">
        <f>IF(AND(A136&gt;0,A136&lt;='Output Report'!$H$71+1),B135+MC_hist!$M$11/'Output Report'!$H$71,"")</f>
        <v/>
      </c>
      <c r="C136" t="str">
        <f t="shared" si="6"/>
        <v/>
      </c>
      <c r="D136" s="45" t="str">
        <f>IF(A137&gt;0,C136/'Output Report'!$H$70,"")</f>
        <v/>
      </c>
      <c r="E136" s="46" t="str">
        <f>IF(A137&gt;0,SUM($D$2:D136),"")</f>
        <v/>
      </c>
      <c r="F136" t="str">
        <f t="shared" si="7"/>
        <v/>
      </c>
      <c r="G136" t="str">
        <f t="shared" si="8"/>
        <v/>
      </c>
    </row>
    <row r="137" spans="1:7" x14ac:dyDescent="0.3">
      <c r="A137">
        <f>IF('Output Report'!$H$71+2&gt;ROW(A136),ROW(A136),0)</f>
        <v>0</v>
      </c>
      <c r="B137" t="str">
        <f>IF(AND(A137&gt;0,A137&lt;='Output Report'!$H$71+1),B136+MC_hist!$M$11/'Output Report'!$H$71,"")</f>
        <v/>
      </c>
      <c r="C137" t="str">
        <f t="shared" si="6"/>
        <v/>
      </c>
      <c r="D137" s="45" t="str">
        <f>IF(A138&gt;0,C137/'Output Report'!$H$70,"")</f>
        <v/>
      </c>
      <c r="E137" s="46" t="str">
        <f>IF(A138&gt;0,SUM($D$2:D137),"")</f>
        <v/>
      </c>
      <c r="F137" t="str">
        <f t="shared" si="7"/>
        <v/>
      </c>
      <c r="G137" t="str">
        <f t="shared" si="8"/>
        <v/>
      </c>
    </row>
    <row r="138" spans="1:7" x14ac:dyDescent="0.3">
      <c r="A138">
        <f>IF('Output Report'!$H$71+2&gt;ROW(A137),ROW(A137),0)</f>
        <v>0</v>
      </c>
      <c r="B138" t="str">
        <f>IF(AND(A138&gt;0,A138&lt;='Output Report'!$H$71+1),B137+MC_hist!$M$11/'Output Report'!$H$71,"")</f>
        <v/>
      </c>
      <c r="C138" t="str">
        <f t="shared" si="6"/>
        <v/>
      </c>
      <c r="D138" s="45" t="str">
        <f>IF(A139&gt;0,C138/'Output Report'!$H$70,"")</f>
        <v/>
      </c>
      <c r="E138" s="46" t="str">
        <f>IF(A139&gt;0,SUM($D$2:D138),"")</f>
        <v/>
      </c>
      <c r="F138" t="str">
        <f t="shared" si="7"/>
        <v/>
      </c>
      <c r="G138" t="str">
        <f t="shared" si="8"/>
        <v/>
      </c>
    </row>
    <row r="139" spans="1:7" x14ac:dyDescent="0.3">
      <c r="A139">
        <f>IF('Output Report'!$H$71+2&gt;ROW(A138),ROW(A138),0)</f>
        <v>0</v>
      </c>
      <c r="B139" t="str">
        <f>IF(AND(A139&gt;0,A139&lt;='Output Report'!$H$71+1),B138+MC_hist!$M$11/'Output Report'!$H$71,"")</f>
        <v/>
      </c>
      <c r="C139" t="str">
        <f t="shared" si="6"/>
        <v/>
      </c>
      <c r="D139" s="45" t="str">
        <f>IF(A140&gt;0,C139/'Output Report'!$H$70,"")</f>
        <v/>
      </c>
      <c r="E139" s="46" t="str">
        <f>IF(A140&gt;0,SUM($D$2:D139),"")</f>
        <v/>
      </c>
      <c r="F139" t="str">
        <f t="shared" si="7"/>
        <v/>
      </c>
      <c r="G139" t="str">
        <f t="shared" si="8"/>
        <v/>
      </c>
    </row>
    <row r="140" spans="1:7" x14ac:dyDescent="0.3">
      <c r="A140">
        <f>IF('Output Report'!$H$71+2&gt;ROW(A139),ROW(A139),0)</f>
        <v>0</v>
      </c>
      <c r="B140" t="str">
        <f>IF(AND(A140&gt;0,A140&lt;='Output Report'!$H$71+1),B139+MC_hist!$M$11/'Output Report'!$H$71,"")</f>
        <v/>
      </c>
      <c r="C140" t="str">
        <f t="shared" si="6"/>
        <v/>
      </c>
      <c r="D140" s="45" t="str">
        <f>IF(A141&gt;0,C140/'Output Report'!$H$70,"")</f>
        <v/>
      </c>
      <c r="E140" s="46" t="str">
        <f>IF(A141&gt;0,SUM($D$2:D140),"")</f>
        <v/>
      </c>
      <c r="F140" t="str">
        <f t="shared" si="7"/>
        <v/>
      </c>
      <c r="G140" t="str">
        <f t="shared" si="8"/>
        <v/>
      </c>
    </row>
    <row r="141" spans="1:7" x14ac:dyDescent="0.3">
      <c r="A141">
        <f>IF('Output Report'!$H$71+2&gt;ROW(A140),ROW(A140),0)</f>
        <v>0</v>
      </c>
      <c r="B141" t="str">
        <f>IF(AND(A141&gt;0,A141&lt;='Output Report'!$H$71+1),B140+MC_hist!$M$11/'Output Report'!$H$71,"")</f>
        <v/>
      </c>
      <c r="C141" t="str">
        <f t="shared" si="6"/>
        <v/>
      </c>
      <c r="D141" s="45" t="str">
        <f>IF(A142&gt;0,C141/'Output Report'!$H$70,"")</f>
        <v/>
      </c>
      <c r="E141" s="46" t="str">
        <f>IF(A142&gt;0,SUM($D$2:D141),"")</f>
        <v/>
      </c>
      <c r="F141" t="str">
        <f t="shared" si="7"/>
        <v/>
      </c>
      <c r="G141" t="str">
        <f t="shared" si="8"/>
        <v/>
      </c>
    </row>
    <row r="142" spans="1:7" x14ac:dyDescent="0.3">
      <c r="A142">
        <f>IF('Output Report'!$H$71+2&gt;ROW(A141),ROW(A141),0)</f>
        <v>0</v>
      </c>
      <c r="B142" t="str">
        <f>IF(AND(A142&gt;0,A142&lt;='Output Report'!$H$71+1),B141+MC_hist!$M$11/'Output Report'!$H$71,"")</f>
        <v/>
      </c>
      <c r="C142" t="str">
        <f t="shared" si="6"/>
        <v/>
      </c>
      <c r="D142" s="45" t="str">
        <f>IF(A143&gt;0,C142/'Output Report'!$H$70,"")</f>
        <v/>
      </c>
      <c r="E142" s="46" t="str">
        <f>IF(A143&gt;0,SUM($D$2:D142),"")</f>
        <v/>
      </c>
      <c r="F142" t="str">
        <f t="shared" si="7"/>
        <v/>
      </c>
      <c r="G142" t="str">
        <f t="shared" si="8"/>
        <v/>
      </c>
    </row>
    <row r="143" spans="1:7" x14ac:dyDescent="0.3">
      <c r="A143">
        <f>IF('Output Report'!$H$71+2&gt;ROW(A142),ROW(A142),0)</f>
        <v>0</v>
      </c>
      <c r="B143" t="str">
        <f>IF(AND(A143&gt;0,A143&lt;='Output Report'!$H$71+1),B142+MC_hist!$M$11/'Output Report'!$H$71,"")</f>
        <v/>
      </c>
      <c r="C143" t="str">
        <f t="shared" si="6"/>
        <v/>
      </c>
      <c r="D143" s="45" t="str">
        <f>IF(A144&gt;0,C143/'Output Report'!$H$70,"")</f>
        <v/>
      </c>
      <c r="E143" s="46" t="str">
        <f>IF(A144&gt;0,SUM($D$2:D143),"")</f>
        <v/>
      </c>
      <c r="F143" t="str">
        <f t="shared" si="7"/>
        <v/>
      </c>
      <c r="G143" t="str">
        <f t="shared" si="8"/>
        <v/>
      </c>
    </row>
    <row r="144" spans="1:7" x14ac:dyDescent="0.3">
      <c r="A144">
        <f>IF('Output Report'!$H$71+2&gt;ROW(A143),ROW(A143),0)</f>
        <v>0</v>
      </c>
      <c r="B144" t="str">
        <f>IF(AND(A144&gt;0,A144&lt;='Output Report'!$H$71+1),B143+MC_hist!$M$11/'Output Report'!$H$71,"")</f>
        <v/>
      </c>
      <c r="C144" t="str">
        <f t="shared" si="6"/>
        <v/>
      </c>
      <c r="D144" s="45" t="str">
        <f>IF(A145&gt;0,C144/'Output Report'!$H$70,"")</f>
        <v/>
      </c>
      <c r="E144" s="46" t="str">
        <f>IF(A145&gt;0,SUM($D$2:D144),"")</f>
        <v/>
      </c>
      <c r="F144" t="str">
        <f t="shared" si="7"/>
        <v/>
      </c>
      <c r="G144" t="str">
        <f t="shared" si="8"/>
        <v/>
      </c>
    </row>
    <row r="145" spans="1:7" x14ac:dyDescent="0.3">
      <c r="A145">
        <f>IF('Output Report'!$H$71+2&gt;ROW(A144),ROW(A144),0)</f>
        <v>0</v>
      </c>
      <c r="B145" t="str">
        <f>IF(AND(A145&gt;0,A145&lt;='Output Report'!$H$71+1),B144+MC_hist!$M$11/'Output Report'!$H$71,"")</f>
        <v/>
      </c>
      <c r="C145" t="str">
        <f t="shared" si="6"/>
        <v/>
      </c>
      <c r="D145" s="45" t="str">
        <f>IF(A146&gt;0,C145/'Output Report'!$H$70,"")</f>
        <v/>
      </c>
      <c r="E145" s="46" t="str">
        <f>IF(A146&gt;0,SUM($D$2:D145),"")</f>
        <v/>
      </c>
      <c r="F145" t="str">
        <f t="shared" si="7"/>
        <v/>
      </c>
      <c r="G145" t="str">
        <f t="shared" si="8"/>
        <v/>
      </c>
    </row>
    <row r="146" spans="1:7" x14ac:dyDescent="0.3">
      <c r="A146">
        <f>IF('Output Report'!$H$71+2&gt;ROW(A145),ROW(A145),0)</f>
        <v>0</v>
      </c>
      <c r="B146" t="str">
        <f>IF(AND(A146&gt;0,A146&lt;='Output Report'!$H$71+1),B145+MC_hist!$M$11/'Output Report'!$H$71,"")</f>
        <v/>
      </c>
      <c r="C146" t="str">
        <f t="shared" si="6"/>
        <v/>
      </c>
      <c r="D146" s="45" t="str">
        <f>IF(A147&gt;0,C146/'Output Report'!$H$70,"")</f>
        <v/>
      </c>
      <c r="E146" s="46" t="str">
        <f>IF(A147&gt;0,SUM($D$2:D146),"")</f>
        <v/>
      </c>
      <c r="F146" t="str">
        <f t="shared" si="7"/>
        <v/>
      </c>
      <c r="G146" t="str">
        <f t="shared" si="8"/>
        <v/>
      </c>
    </row>
    <row r="147" spans="1:7" x14ac:dyDescent="0.3">
      <c r="A147">
        <f>IF('Output Report'!$H$71+2&gt;ROW(A146),ROW(A146),0)</f>
        <v>0</v>
      </c>
      <c r="B147" t="str">
        <f>IF(AND(A147&gt;0,A147&lt;='Output Report'!$H$71+1),B146+MC_hist!$M$11/'Output Report'!$H$71,"")</f>
        <v/>
      </c>
      <c r="C147" t="str">
        <f t="shared" si="6"/>
        <v/>
      </c>
      <c r="D147" s="45" t="str">
        <f>IF(A148&gt;0,C147/'Output Report'!$H$70,"")</f>
        <v/>
      </c>
      <c r="E147" s="46" t="str">
        <f>IF(A148&gt;0,SUM($D$2:D147),"")</f>
        <v/>
      </c>
      <c r="F147" t="str">
        <f t="shared" si="7"/>
        <v/>
      </c>
      <c r="G147" t="str">
        <f t="shared" si="8"/>
        <v/>
      </c>
    </row>
    <row r="148" spans="1:7" x14ac:dyDescent="0.3">
      <c r="A148">
        <f>IF('Output Report'!$H$71+2&gt;ROW(A147),ROW(A147),0)</f>
        <v>0</v>
      </c>
      <c r="B148" t="str">
        <f>IF(AND(A148&gt;0,A148&lt;='Output Report'!$H$71+1),B147+MC_hist!$M$11/'Output Report'!$H$71,"")</f>
        <v/>
      </c>
      <c r="C148" t="str">
        <f t="shared" si="6"/>
        <v/>
      </c>
      <c r="D148" s="45" t="str">
        <f>IF(A149&gt;0,C148/'Output Report'!$H$70,"")</f>
        <v/>
      </c>
      <c r="E148" s="46" t="str">
        <f>IF(A149&gt;0,SUM($D$2:D148),"")</f>
        <v/>
      </c>
      <c r="F148" t="str">
        <f t="shared" si="7"/>
        <v/>
      </c>
      <c r="G148" t="str">
        <f t="shared" si="8"/>
        <v/>
      </c>
    </row>
    <row r="149" spans="1:7" x14ac:dyDescent="0.3">
      <c r="A149">
        <f>IF('Output Report'!$H$71+2&gt;ROW(A148),ROW(A148),0)</f>
        <v>0</v>
      </c>
      <c r="B149" t="str">
        <f>IF(AND(A149&gt;0,A149&lt;='Output Report'!$H$71+1),B148+MC_hist!$M$11/'Output Report'!$H$71,"")</f>
        <v/>
      </c>
      <c r="C149" t="str">
        <f t="shared" si="6"/>
        <v/>
      </c>
      <c r="D149" s="45" t="str">
        <f>IF(A150&gt;0,C149/'Output Report'!$H$70,"")</f>
        <v/>
      </c>
      <c r="E149" s="46" t="str">
        <f>IF(A150&gt;0,SUM($D$2:D149),"")</f>
        <v/>
      </c>
      <c r="F149" t="str">
        <f t="shared" si="7"/>
        <v/>
      </c>
      <c r="G149" t="str">
        <f t="shared" si="8"/>
        <v/>
      </c>
    </row>
    <row r="150" spans="1:7" x14ac:dyDescent="0.3">
      <c r="A150">
        <f>IF('Output Report'!$H$71+2&gt;ROW(A149),ROW(A149),0)</f>
        <v>0</v>
      </c>
      <c r="B150" t="str">
        <f>IF(AND(A150&gt;0,A150&lt;='Output Report'!$H$71+1),B149+MC_hist!$M$11/'Output Report'!$H$71,"")</f>
        <v/>
      </c>
      <c r="C150" t="str">
        <f t="shared" si="6"/>
        <v/>
      </c>
      <c r="D150" s="45" t="str">
        <f>IF(A151&gt;0,C150/'Output Report'!$H$70,"")</f>
        <v/>
      </c>
      <c r="E150" s="46" t="str">
        <f>IF(A151&gt;0,SUM($D$2:D150),"")</f>
        <v/>
      </c>
      <c r="F150" t="str">
        <f t="shared" si="7"/>
        <v/>
      </c>
      <c r="G150" t="str">
        <f t="shared" si="8"/>
        <v/>
      </c>
    </row>
    <row r="151" spans="1:7" x14ac:dyDescent="0.3">
      <c r="A151">
        <f>IF('Output Report'!$H$71+2&gt;ROW(A150),ROW(A150),0)</f>
        <v>0</v>
      </c>
      <c r="B151" t="str">
        <f>IF(AND(A151&gt;0,A151&lt;='Output Report'!$H$71+1),B150+MC_hist!$M$11/'Output Report'!$H$71,"")</f>
        <v/>
      </c>
      <c r="C151" t="str">
        <f t="shared" si="6"/>
        <v/>
      </c>
      <c r="D151" s="45" t="str">
        <f>IF(A152&gt;0,C151/'Output Report'!$H$70,"")</f>
        <v/>
      </c>
      <c r="E151" s="46" t="str">
        <f>IF(A152&gt;0,SUM($D$2:D151),"")</f>
        <v/>
      </c>
      <c r="F151" t="str">
        <f t="shared" si="7"/>
        <v/>
      </c>
      <c r="G151" t="str">
        <f t="shared" si="8"/>
        <v/>
      </c>
    </row>
    <row r="152" spans="1:7" x14ac:dyDescent="0.3">
      <c r="A152">
        <f>IF('Output Report'!$H$71+2&gt;ROW(A151),ROW(A151),0)</f>
        <v>0</v>
      </c>
      <c r="B152" t="str">
        <f>IF(AND(A152&gt;0,A152&lt;='Output Report'!$H$71+1),B151+MC_hist!$M$11/'Output Report'!$H$71,"")</f>
        <v/>
      </c>
      <c r="C152" t="str">
        <f t="shared" si="6"/>
        <v/>
      </c>
      <c r="D152" s="45" t="str">
        <f>IF(A153&gt;0,C152/'Output Report'!$H$70,"")</f>
        <v/>
      </c>
      <c r="E152" s="46" t="str">
        <f>IF(A153&gt;0,SUM($D$2:D152),"")</f>
        <v/>
      </c>
      <c r="F152" t="str">
        <f t="shared" si="7"/>
        <v/>
      </c>
      <c r="G152" t="str">
        <f t="shared" si="8"/>
        <v/>
      </c>
    </row>
    <row r="153" spans="1:7" x14ac:dyDescent="0.3">
      <c r="A153">
        <f>IF('Output Report'!$H$71+2&gt;ROW(A152),ROW(A152),0)</f>
        <v>0</v>
      </c>
      <c r="B153" t="str">
        <f>IF(AND(A153&gt;0,A153&lt;='Output Report'!$H$71+1),B152+MC_hist!$M$11/'Output Report'!$H$71,"")</f>
        <v/>
      </c>
      <c r="C153" t="str">
        <f t="shared" si="6"/>
        <v/>
      </c>
      <c r="D153" s="45" t="str">
        <f>IF(A154&gt;0,C153/'Output Report'!$H$70,"")</f>
        <v/>
      </c>
      <c r="E153" s="46" t="str">
        <f>IF(A154&gt;0,SUM($D$2:D153),"")</f>
        <v/>
      </c>
      <c r="F153" t="str">
        <f t="shared" si="7"/>
        <v/>
      </c>
      <c r="G153" t="str">
        <f t="shared" si="8"/>
        <v/>
      </c>
    </row>
    <row r="154" spans="1:7" x14ac:dyDescent="0.3">
      <c r="A154">
        <f>IF('Output Report'!$H$71+2&gt;ROW(A153),ROW(A153),0)</f>
        <v>0</v>
      </c>
      <c r="B154" t="str">
        <f>IF(AND(A154&gt;0,A154&lt;='Output Report'!$H$71+1),B153+MC_hist!$M$11/'Output Report'!$H$71,"")</f>
        <v/>
      </c>
      <c r="C154" t="str">
        <f t="shared" si="6"/>
        <v/>
      </c>
      <c r="D154" s="45" t="str">
        <f>IF(A155&gt;0,C154/'Output Report'!$H$70,"")</f>
        <v/>
      </c>
      <c r="E154" s="46" t="str">
        <f>IF(A155&gt;0,SUM($D$2:D154),"")</f>
        <v/>
      </c>
      <c r="F154" t="str">
        <f t="shared" si="7"/>
        <v/>
      </c>
      <c r="G154" t="str">
        <f t="shared" si="8"/>
        <v/>
      </c>
    </row>
    <row r="155" spans="1:7" x14ac:dyDescent="0.3">
      <c r="A155">
        <f>IF('Output Report'!$H$71+2&gt;ROW(A154),ROW(A154),0)</f>
        <v>0</v>
      </c>
      <c r="B155" t="str">
        <f>IF(AND(A155&gt;0,A155&lt;='Output Report'!$H$71+1),B154+MC_hist!$M$11/'Output Report'!$H$71,"")</f>
        <v/>
      </c>
      <c r="C155" t="str">
        <f t="shared" si="6"/>
        <v/>
      </c>
      <c r="D155" s="45" t="str">
        <f>IF(A156&gt;0,C155/'Output Report'!$H$70,"")</f>
        <v/>
      </c>
      <c r="E155" s="46" t="str">
        <f>IF(A156&gt;0,SUM($D$2:D155),"")</f>
        <v/>
      </c>
      <c r="F155" t="str">
        <f t="shared" si="7"/>
        <v/>
      </c>
      <c r="G155" t="str">
        <f t="shared" si="8"/>
        <v/>
      </c>
    </row>
    <row r="156" spans="1:7" x14ac:dyDescent="0.3">
      <c r="A156">
        <f>IF('Output Report'!$H$71+2&gt;ROW(A155),ROW(A155),0)</f>
        <v>0</v>
      </c>
      <c r="B156" t="str">
        <f>IF(AND(A156&gt;0,A156&lt;='Output Report'!$H$71+1),B155+MC_hist!$M$11/'Output Report'!$H$71,"")</f>
        <v/>
      </c>
      <c r="C156" t="str">
        <f t="shared" si="6"/>
        <v/>
      </c>
      <c r="D156" s="45" t="str">
        <f>IF(A157&gt;0,C156/'Output Report'!$H$70,"")</f>
        <v/>
      </c>
      <c r="E156" s="46" t="str">
        <f>IF(A157&gt;0,SUM($D$2:D156),"")</f>
        <v/>
      </c>
      <c r="F156" t="str">
        <f t="shared" si="7"/>
        <v/>
      </c>
      <c r="G156" t="str">
        <f t="shared" si="8"/>
        <v/>
      </c>
    </row>
    <row r="157" spans="1:7" x14ac:dyDescent="0.3">
      <c r="A157">
        <f>IF('Output Report'!$H$71+2&gt;ROW(A156),ROW(A156),0)</f>
        <v>0</v>
      </c>
      <c r="B157" t="str">
        <f>IF(AND(A157&gt;0,A157&lt;='Output Report'!$H$71+1),B156+MC_hist!$M$11/'Output Report'!$H$71,"")</f>
        <v/>
      </c>
      <c r="C157" t="str">
        <f t="shared" si="6"/>
        <v/>
      </c>
      <c r="D157" s="45" t="str">
        <f>IF(A158&gt;0,C157/'Output Report'!$H$70,"")</f>
        <v/>
      </c>
      <c r="E157" s="46" t="str">
        <f>IF(A158&gt;0,SUM($D$2:D157),"")</f>
        <v/>
      </c>
      <c r="F157" t="str">
        <f t="shared" si="7"/>
        <v/>
      </c>
      <c r="G157" t="str">
        <f t="shared" si="8"/>
        <v/>
      </c>
    </row>
    <row r="158" spans="1:7" x14ac:dyDescent="0.3">
      <c r="A158">
        <f>IF('Output Report'!$H$71+2&gt;ROW(A157),ROW(A157),0)</f>
        <v>0</v>
      </c>
      <c r="B158" t="str">
        <f>IF(AND(A158&gt;0,A158&lt;='Output Report'!$H$71+1),B157+MC_hist!$M$11/'Output Report'!$H$71,"")</f>
        <v/>
      </c>
      <c r="C158" t="str">
        <f t="shared" si="6"/>
        <v/>
      </c>
      <c r="D158" s="45" t="str">
        <f>IF(A159&gt;0,C158/'Output Report'!$H$70,"")</f>
        <v/>
      </c>
      <c r="E158" s="46" t="str">
        <f>IF(A159&gt;0,SUM($D$2:D158),"")</f>
        <v/>
      </c>
      <c r="F158" t="str">
        <f t="shared" si="7"/>
        <v/>
      </c>
      <c r="G158" t="str">
        <f t="shared" si="8"/>
        <v/>
      </c>
    </row>
    <row r="159" spans="1:7" x14ac:dyDescent="0.3">
      <c r="A159">
        <f>IF('Output Report'!$H$71+2&gt;ROW(A158),ROW(A158),0)</f>
        <v>0</v>
      </c>
      <c r="B159" t="str">
        <f>IF(AND(A159&gt;0,A159&lt;='Output Report'!$H$71+1),B158+MC_hist!$M$11/'Output Report'!$H$71,"")</f>
        <v/>
      </c>
      <c r="C159" t="str">
        <f t="shared" si="6"/>
        <v/>
      </c>
      <c r="D159" s="45" t="str">
        <f>IF(A160&gt;0,C159/'Output Report'!$H$70,"")</f>
        <v/>
      </c>
      <c r="E159" s="46" t="str">
        <f>IF(A160&gt;0,SUM($D$2:D159),"")</f>
        <v/>
      </c>
      <c r="F159" t="str">
        <f t="shared" si="7"/>
        <v/>
      </c>
      <c r="G159" t="str">
        <f t="shared" si="8"/>
        <v/>
      </c>
    </row>
    <row r="160" spans="1:7" x14ac:dyDescent="0.3">
      <c r="A160">
        <f>IF('Output Report'!$H$71+2&gt;ROW(A159),ROW(A159),0)</f>
        <v>0</v>
      </c>
      <c r="B160" t="str">
        <f>IF(AND(A160&gt;0,A160&lt;='Output Report'!$H$71+1),B159+MC_hist!$M$11/'Output Report'!$H$71,"")</f>
        <v/>
      </c>
      <c r="C160" t="str">
        <f t="shared" si="6"/>
        <v/>
      </c>
      <c r="D160" s="45" t="str">
        <f>IF(A161&gt;0,C160/'Output Report'!$H$70,"")</f>
        <v/>
      </c>
      <c r="E160" s="46" t="str">
        <f>IF(A161&gt;0,SUM($D$2:D160),"")</f>
        <v/>
      </c>
      <c r="F160" t="str">
        <f t="shared" si="7"/>
        <v/>
      </c>
      <c r="G160" t="str">
        <f t="shared" si="8"/>
        <v/>
      </c>
    </row>
    <row r="161" spans="1:7" x14ac:dyDescent="0.3">
      <c r="A161">
        <f>IF('Output Report'!$H$71+2&gt;ROW(A160),ROW(A160),0)</f>
        <v>0</v>
      </c>
      <c r="B161" t="str">
        <f>IF(AND(A161&gt;0,A161&lt;='Output Report'!$H$71+1),B160+MC_hist!$M$11/'Output Report'!$H$71,"")</f>
        <v/>
      </c>
      <c r="C161" t="str">
        <f t="shared" si="6"/>
        <v/>
      </c>
      <c r="D161" s="45" t="str">
        <f>IF(A162&gt;0,C161/'Output Report'!$H$70,"")</f>
        <v/>
      </c>
      <c r="E161" s="46" t="str">
        <f>IF(A162&gt;0,SUM($D$2:D161),"")</f>
        <v/>
      </c>
      <c r="F161" t="str">
        <f t="shared" si="7"/>
        <v/>
      </c>
      <c r="G161" t="str">
        <f t="shared" si="8"/>
        <v/>
      </c>
    </row>
    <row r="162" spans="1:7" x14ac:dyDescent="0.3">
      <c r="A162">
        <f>IF('Output Report'!$H$71+2&gt;ROW(A161),ROW(A161),0)</f>
        <v>0</v>
      </c>
      <c r="B162" t="str">
        <f>IF(AND(A162&gt;0,A162&lt;='Output Report'!$H$71+1),B161+MC_hist!$M$11/'Output Report'!$H$71,"")</f>
        <v/>
      </c>
      <c r="C162" t="str">
        <f t="shared" si="6"/>
        <v/>
      </c>
      <c r="D162" s="45" t="str">
        <f>IF(A163&gt;0,C162/'Output Report'!$H$70,"")</f>
        <v/>
      </c>
      <c r="E162" s="46" t="str">
        <f>IF(A163&gt;0,SUM($D$2:D162),"")</f>
        <v/>
      </c>
      <c r="F162" t="str">
        <f t="shared" si="7"/>
        <v/>
      </c>
      <c r="G162" t="str">
        <f t="shared" si="8"/>
        <v/>
      </c>
    </row>
    <row r="163" spans="1:7" x14ac:dyDescent="0.3">
      <c r="A163">
        <f>IF('Output Report'!$H$71+2&gt;ROW(A162),ROW(A162),0)</f>
        <v>0</v>
      </c>
      <c r="B163" t="str">
        <f>IF(AND(A163&gt;0,A163&lt;='Output Report'!$H$71+1),B162+MC_hist!$M$11/'Output Report'!$H$71,"")</f>
        <v/>
      </c>
      <c r="C163" t="str">
        <f t="shared" si="6"/>
        <v/>
      </c>
      <c r="D163" s="45" t="str">
        <f>IF(A164&gt;0,C163/'Output Report'!$H$70,"")</f>
        <v/>
      </c>
      <c r="E163" s="46" t="str">
        <f>IF(A164&gt;0,SUM($D$2:D163),"")</f>
        <v/>
      </c>
      <c r="F163" t="str">
        <f t="shared" si="7"/>
        <v/>
      </c>
      <c r="G163" t="str">
        <f t="shared" si="8"/>
        <v/>
      </c>
    </row>
    <row r="164" spans="1:7" x14ac:dyDescent="0.3">
      <c r="A164">
        <f>IF('Output Report'!$H$71+2&gt;ROW(A163),ROW(A163),0)</f>
        <v>0</v>
      </c>
      <c r="B164" t="str">
        <f>IF(AND(A164&gt;0,A164&lt;='Output Report'!$H$71+1),B163+MC_hist!$M$11/'Output Report'!$H$71,"")</f>
        <v/>
      </c>
      <c r="C164" t="str">
        <f t="shared" si="6"/>
        <v/>
      </c>
      <c r="D164" s="45" t="str">
        <f>IF(A165&gt;0,C164/'Output Report'!$H$70,"")</f>
        <v/>
      </c>
      <c r="E164" s="46" t="str">
        <f>IF(A165&gt;0,SUM($D$2:D164),"")</f>
        <v/>
      </c>
      <c r="F164" t="str">
        <f t="shared" si="7"/>
        <v/>
      </c>
      <c r="G164" t="str">
        <f t="shared" si="8"/>
        <v/>
      </c>
    </row>
    <row r="165" spans="1:7" x14ac:dyDescent="0.3">
      <c r="A165">
        <f>IF('Output Report'!$H$71+2&gt;ROW(A164),ROW(A164),0)</f>
        <v>0</v>
      </c>
      <c r="B165" t="str">
        <f>IF(AND(A165&gt;0,A165&lt;='Output Report'!$H$71+1),B164+MC_hist!$M$11/'Output Report'!$H$71,"")</f>
        <v/>
      </c>
      <c r="C165" t="str">
        <f t="shared" si="6"/>
        <v/>
      </c>
      <c r="D165" s="45" t="str">
        <f>IF(A166&gt;0,C165/'Output Report'!$H$70,"")</f>
        <v/>
      </c>
      <c r="E165" s="46" t="str">
        <f>IF(A166&gt;0,SUM($D$2:D165),"")</f>
        <v/>
      </c>
      <c r="F165" t="str">
        <f t="shared" si="7"/>
        <v/>
      </c>
      <c r="G165" t="str">
        <f t="shared" si="8"/>
        <v/>
      </c>
    </row>
    <row r="166" spans="1:7" x14ac:dyDescent="0.3">
      <c r="A166">
        <f>IF('Output Report'!$H$71+2&gt;ROW(A165),ROW(A165),0)</f>
        <v>0</v>
      </c>
      <c r="B166" t="str">
        <f>IF(AND(A166&gt;0,A166&lt;='Output Report'!$H$71+1),B165+MC_hist!$M$11/'Output Report'!$H$71,"")</f>
        <v/>
      </c>
      <c r="C166" t="str">
        <f t="shared" si="6"/>
        <v/>
      </c>
      <c r="D166" s="45" t="str">
        <f>IF(A167&gt;0,C166/'Output Report'!$H$70,"")</f>
        <v/>
      </c>
      <c r="E166" s="46" t="str">
        <f>IF(A167&gt;0,SUM($D$2:D166),"")</f>
        <v/>
      </c>
      <c r="F166" t="str">
        <f t="shared" si="7"/>
        <v/>
      </c>
      <c r="G166" t="str">
        <f t="shared" si="8"/>
        <v/>
      </c>
    </row>
    <row r="167" spans="1:7" x14ac:dyDescent="0.3">
      <c r="A167">
        <f>IF('Output Report'!$H$71+2&gt;ROW(A166),ROW(A166),0)</f>
        <v>0</v>
      </c>
      <c r="B167" t="str">
        <f>IF(AND(A167&gt;0,A167&lt;='Output Report'!$H$71+1),B166+MC_hist!$M$11/'Output Report'!$H$71,"")</f>
        <v/>
      </c>
      <c r="C167" t="str">
        <f t="shared" si="6"/>
        <v/>
      </c>
      <c r="D167" s="45" t="str">
        <f>IF(A168&gt;0,C167/'Output Report'!$H$70,"")</f>
        <v/>
      </c>
      <c r="E167" s="46" t="str">
        <f>IF(A168&gt;0,SUM($D$2:D167),"")</f>
        <v/>
      </c>
      <c r="F167" t="str">
        <f t="shared" si="7"/>
        <v/>
      </c>
      <c r="G167" t="str">
        <f t="shared" si="8"/>
        <v/>
      </c>
    </row>
    <row r="168" spans="1:7" x14ac:dyDescent="0.3">
      <c r="A168">
        <f>IF('Output Report'!$H$71+2&gt;ROW(A167),ROW(A167),0)</f>
        <v>0</v>
      </c>
      <c r="B168" t="str">
        <f>IF(AND(A168&gt;0,A168&lt;='Output Report'!$H$71+1),B167+MC_hist!$M$11/'Output Report'!$H$71,"")</f>
        <v/>
      </c>
      <c r="C168" t="str">
        <f t="shared" si="6"/>
        <v/>
      </c>
      <c r="D168" s="45" t="str">
        <f>IF(A169&gt;0,C168/'Output Report'!$H$70,"")</f>
        <v/>
      </c>
      <c r="E168" s="46" t="str">
        <f>IF(A169&gt;0,SUM($D$2:D168),"")</f>
        <v/>
      </c>
      <c r="F168" t="str">
        <f t="shared" si="7"/>
        <v/>
      </c>
      <c r="G168" t="str">
        <f t="shared" si="8"/>
        <v/>
      </c>
    </row>
    <row r="169" spans="1:7" x14ac:dyDescent="0.3">
      <c r="A169">
        <f>IF('Output Report'!$H$71+2&gt;ROW(A168),ROW(A168),0)</f>
        <v>0</v>
      </c>
      <c r="B169" t="str">
        <f>IF(AND(A169&gt;0,A169&lt;='Output Report'!$H$71+1),B168+MC_hist!$M$11/'Output Report'!$H$71,"")</f>
        <v/>
      </c>
      <c r="C169" t="str">
        <f t="shared" si="6"/>
        <v/>
      </c>
      <c r="D169" s="45" t="str">
        <f>IF(A170&gt;0,C169/'Output Report'!$H$70,"")</f>
        <v/>
      </c>
      <c r="E169" s="46" t="str">
        <f>IF(A170&gt;0,SUM($D$2:D169),"")</f>
        <v/>
      </c>
      <c r="F169" t="str">
        <f t="shared" si="7"/>
        <v/>
      </c>
      <c r="G169" t="str">
        <f t="shared" si="8"/>
        <v/>
      </c>
    </row>
    <row r="170" spans="1:7" x14ac:dyDescent="0.3">
      <c r="A170">
        <f>IF('Output Report'!$H$71+2&gt;ROW(A169),ROW(A169),0)</f>
        <v>0</v>
      </c>
      <c r="B170" t="str">
        <f>IF(AND(A170&gt;0,A170&lt;='Output Report'!$H$71+1),B169+MC_hist!$M$11/'Output Report'!$H$71,"")</f>
        <v/>
      </c>
      <c r="C170" t="str">
        <f t="shared" si="6"/>
        <v/>
      </c>
      <c r="D170" s="45" t="str">
        <f>IF(A171&gt;0,C170/'Output Report'!$H$70,"")</f>
        <v/>
      </c>
      <c r="E170" s="46" t="str">
        <f>IF(A171&gt;0,SUM($D$2:D170),"")</f>
        <v/>
      </c>
      <c r="F170" t="str">
        <f t="shared" si="7"/>
        <v/>
      </c>
      <c r="G170" t="str">
        <f t="shared" si="8"/>
        <v/>
      </c>
    </row>
    <row r="171" spans="1:7" x14ac:dyDescent="0.3">
      <c r="A171">
        <f>IF('Output Report'!$H$71+2&gt;ROW(A170),ROW(A170),0)</f>
        <v>0</v>
      </c>
      <c r="B171" t="str">
        <f>IF(AND(A171&gt;0,A171&lt;='Output Report'!$H$71+1),B170+MC_hist!$M$11/'Output Report'!$H$71,"")</f>
        <v/>
      </c>
      <c r="C171" t="str">
        <f t="shared" si="6"/>
        <v/>
      </c>
      <c r="D171" s="45" t="str">
        <f>IF(A172&gt;0,C171/'Output Report'!$H$70,"")</f>
        <v/>
      </c>
      <c r="E171" s="46" t="str">
        <f>IF(A172&gt;0,SUM($D$2:D171),"")</f>
        <v/>
      </c>
      <c r="F171" t="str">
        <f t="shared" si="7"/>
        <v/>
      </c>
      <c r="G171" t="str">
        <f t="shared" si="8"/>
        <v/>
      </c>
    </row>
    <row r="172" spans="1:7" x14ac:dyDescent="0.3">
      <c r="A172">
        <f>IF('Output Report'!$H$71+2&gt;ROW(A171),ROW(A171),0)</f>
        <v>0</v>
      </c>
      <c r="B172" t="str">
        <f>IF(AND(A172&gt;0,A172&lt;='Output Report'!$H$71+1),B171+MC_hist!$M$11/'Output Report'!$H$71,"")</f>
        <v/>
      </c>
      <c r="C172" t="str">
        <f t="shared" si="6"/>
        <v/>
      </c>
      <c r="D172" s="45" t="str">
        <f>IF(A173&gt;0,C172/'Output Report'!$H$70,"")</f>
        <v/>
      </c>
      <c r="E172" s="46" t="str">
        <f>IF(A173&gt;0,SUM($D$2:D172),"")</f>
        <v/>
      </c>
      <c r="F172" t="str">
        <f t="shared" si="7"/>
        <v/>
      </c>
      <c r="G172" t="str">
        <f t="shared" si="8"/>
        <v/>
      </c>
    </row>
    <row r="173" spans="1:7" x14ac:dyDescent="0.3">
      <c r="A173">
        <f>IF('Output Report'!$H$71+2&gt;ROW(A172),ROW(A172),0)</f>
        <v>0</v>
      </c>
      <c r="B173" t="str">
        <f>IF(AND(A173&gt;0,A173&lt;='Output Report'!$H$71+1),B172+MC_hist!$M$11/'Output Report'!$H$71,"")</f>
        <v/>
      </c>
      <c r="C173" t="str">
        <f t="shared" si="6"/>
        <v/>
      </c>
      <c r="D173" s="45" t="str">
        <f>IF(A174&gt;0,C173/'Output Report'!$H$70,"")</f>
        <v/>
      </c>
      <c r="E173" s="46" t="str">
        <f>IF(A174&gt;0,SUM($D$2:D173),"")</f>
        <v/>
      </c>
      <c r="F173" t="str">
        <f t="shared" si="7"/>
        <v/>
      </c>
      <c r="G173" t="str">
        <f t="shared" si="8"/>
        <v/>
      </c>
    </row>
    <row r="174" spans="1:7" x14ac:dyDescent="0.3">
      <c r="A174">
        <f>IF('Output Report'!$H$71+2&gt;ROW(A173),ROW(A173),0)</f>
        <v>0</v>
      </c>
      <c r="B174" t="str">
        <f>IF(AND(A174&gt;0,A174&lt;='Output Report'!$H$71+1),B173+MC_hist!$M$11/'Output Report'!$H$71,"")</f>
        <v/>
      </c>
      <c r="C174" t="str">
        <f t="shared" si="6"/>
        <v/>
      </c>
      <c r="D174" s="45" t="str">
        <f>IF(A175&gt;0,C174/'Output Report'!$H$70,"")</f>
        <v/>
      </c>
      <c r="E174" s="46" t="str">
        <f>IF(A175&gt;0,SUM($D$2:D174),"")</f>
        <v/>
      </c>
      <c r="F174" t="str">
        <f t="shared" si="7"/>
        <v/>
      </c>
      <c r="G174" t="str">
        <f t="shared" si="8"/>
        <v/>
      </c>
    </row>
    <row r="175" spans="1:7" x14ac:dyDescent="0.3">
      <c r="A175">
        <f>IF('Output Report'!$H$71+2&gt;ROW(A174),ROW(A174),0)</f>
        <v>0</v>
      </c>
      <c r="B175" t="str">
        <f>IF(AND(A175&gt;0,A175&lt;='Output Report'!$H$71+1),B174+MC_hist!$M$11/'Output Report'!$H$71,"")</f>
        <v/>
      </c>
      <c r="C175" t="str">
        <f t="shared" si="6"/>
        <v/>
      </c>
      <c r="D175" s="45" t="str">
        <f>IF(A176&gt;0,C175/'Output Report'!$H$70,"")</f>
        <v/>
      </c>
      <c r="E175" s="46" t="str">
        <f>IF(A176&gt;0,SUM($D$2:D175),"")</f>
        <v/>
      </c>
      <c r="F175" t="str">
        <f t="shared" si="7"/>
        <v/>
      </c>
      <c r="G175" t="str">
        <f t="shared" si="8"/>
        <v/>
      </c>
    </row>
    <row r="176" spans="1:7" x14ac:dyDescent="0.3">
      <c r="A176">
        <f>IF('Output Report'!$H$71+2&gt;ROW(A175),ROW(A175),0)</f>
        <v>0</v>
      </c>
      <c r="B176" t="str">
        <f>IF(AND(A176&gt;0,A176&lt;='Output Report'!$H$71+1),B175+MC_hist!$M$11/'Output Report'!$H$71,"")</f>
        <v/>
      </c>
      <c r="C176" t="str">
        <f t="shared" si="6"/>
        <v/>
      </c>
      <c r="D176" s="45" t="str">
        <f>IF(A177&gt;0,C176/'Output Report'!$H$70,"")</f>
        <v/>
      </c>
      <c r="E176" s="46" t="str">
        <f>IF(A177&gt;0,SUM($D$2:D176),"")</f>
        <v/>
      </c>
      <c r="F176" t="str">
        <f t="shared" si="7"/>
        <v/>
      </c>
      <c r="G176" t="str">
        <f t="shared" si="8"/>
        <v/>
      </c>
    </row>
    <row r="177" spans="1:7" x14ac:dyDescent="0.3">
      <c r="A177">
        <f>IF('Output Report'!$H$71+2&gt;ROW(A176),ROW(A176),0)</f>
        <v>0</v>
      </c>
      <c r="B177" t="str">
        <f>IF(AND(A177&gt;0,A177&lt;='Output Report'!$H$71+1),B176+MC_hist!$M$11/'Output Report'!$H$71,"")</f>
        <v/>
      </c>
      <c r="C177" t="str">
        <f t="shared" si="6"/>
        <v/>
      </c>
      <c r="D177" s="45" t="str">
        <f>IF(A178&gt;0,C177/'Output Report'!$H$70,"")</f>
        <v/>
      </c>
      <c r="E177" s="46" t="str">
        <f>IF(A178&gt;0,SUM($D$2:D177),"")</f>
        <v/>
      </c>
      <c r="F177" t="str">
        <f t="shared" si="7"/>
        <v/>
      </c>
      <c r="G177" t="str">
        <f t="shared" si="8"/>
        <v/>
      </c>
    </row>
    <row r="178" spans="1:7" x14ac:dyDescent="0.3">
      <c r="A178">
        <f>IF('Output Report'!$H$71+2&gt;ROW(A177),ROW(A177),0)</f>
        <v>0</v>
      </c>
      <c r="B178" t="str">
        <f>IF(AND(A178&gt;0,A178&lt;='Output Report'!$H$71+1),B177+MC_hist!$M$11/'Output Report'!$H$71,"")</f>
        <v/>
      </c>
      <c r="C178" t="str">
        <f t="shared" si="6"/>
        <v/>
      </c>
      <c r="D178" s="45" t="str">
        <f>IF(A179&gt;0,C178/'Output Report'!$H$70,"")</f>
        <v/>
      </c>
      <c r="E178" s="46" t="str">
        <f>IF(A179&gt;0,SUM($D$2:D178),"")</f>
        <v/>
      </c>
      <c r="F178" t="str">
        <f t="shared" si="7"/>
        <v/>
      </c>
      <c r="G178" t="str">
        <f t="shared" si="8"/>
        <v/>
      </c>
    </row>
    <row r="179" spans="1:7" x14ac:dyDescent="0.3">
      <c r="A179">
        <f>IF('Output Report'!$H$71+2&gt;ROW(A178),ROW(A178),0)</f>
        <v>0</v>
      </c>
      <c r="B179" t="str">
        <f>IF(AND(A179&gt;0,A179&lt;='Output Report'!$H$71+1),B178+MC_hist!$M$11/'Output Report'!$H$71,"")</f>
        <v/>
      </c>
      <c r="C179" t="str">
        <f t="shared" si="6"/>
        <v/>
      </c>
      <c r="D179" s="45" t="str">
        <f>IF(A180&gt;0,C179/'Output Report'!$H$70,"")</f>
        <v/>
      </c>
      <c r="E179" s="46" t="str">
        <f>IF(A180&gt;0,SUM($D$2:D179),"")</f>
        <v/>
      </c>
      <c r="F179" t="str">
        <f t="shared" si="7"/>
        <v/>
      </c>
      <c r="G179" t="str">
        <f t="shared" si="8"/>
        <v/>
      </c>
    </row>
    <row r="180" spans="1:7" x14ac:dyDescent="0.3">
      <c r="A180">
        <f>IF('Output Report'!$H$71+2&gt;ROW(A179),ROW(A179),0)</f>
        <v>0</v>
      </c>
      <c r="B180" t="str">
        <f>IF(AND(A180&gt;0,A180&lt;='Output Report'!$H$71+1),B179+MC_hist!$M$11/'Output Report'!$H$71,"")</f>
        <v/>
      </c>
      <c r="C180" t="str">
        <f t="shared" si="6"/>
        <v/>
      </c>
      <c r="D180" s="45" t="str">
        <f>IF(A181&gt;0,C180/'Output Report'!$H$70,"")</f>
        <v/>
      </c>
      <c r="E180" s="46" t="str">
        <f>IF(A181&gt;0,SUM($D$2:D180),"")</f>
        <v/>
      </c>
      <c r="F180" t="str">
        <f t="shared" si="7"/>
        <v/>
      </c>
      <c r="G180" t="str">
        <f t="shared" si="8"/>
        <v/>
      </c>
    </row>
    <row r="181" spans="1:7" x14ac:dyDescent="0.3">
      <c r="A181">
        <f>IF('Output Report'!$H$71+2&gt;ROW(A180),ROW(A180),0)</f>
        <v>0</v>
      </c>
      <c r="B181" t="str">
        <f>IF(AND(A181&gt;0,A181&lt;='Output Report'!$H$71+1),B180+MC_hist!$M$11/'Output Report'!$H$71,"")</f>
        <v/>
      </c>
      <c r="C181" t="str">
        <f t="shared" si="6"/>
        <v/>
      </c>
      <c r="D181" s="45" t="str">
        <f>IF(A182&gt;0,C181/'Output Report'!$H$70,"")</f>
        <v/>
      </c>
      <c r="E181" s="46" t="str">
        <f>IF(A182&gt;0,SUM($D$2:D181),"")</f>
        <v/>
      </c>
      <c r="F181" t="str">
        <f t="shared" si="7"/>
        <v/>
      </c>
      <c r="G181" t="str">
        <f t="shared" si="8"/>
        <v/>
      </c>
    </row>
    <row r="182" spans="1:7" x14ac:dyDescent="0.3">
      <c r="A182">
        <f>IF('Output Report'!$H$71+2&gt;ROW(A181),ROW(A181),0)</f>
        <v>0</v>
      </c>
      <c r="B182" t="str">
        <f>IF(AND(A182&gt;0,A182&lt;='Output Report'!$H$71+1),B181+MC_hist!$M$11/'Output Report'!$H$71,"")</f>
        <v/>
      </c>
      <c r="C182" t="str">
        <f t="shared" si="6"/>
        <v/>
      </c>
      <c r="D182" s="45" t="str">
        <f>IF(A183&gt;0,C182/'Output Report'!$H$70,"")</f>
        <v/>
      </c>
      <c r="E182" s="46" t="str">
        <f>IF(A183&gt;0,SUM($D$2:D182),"")</f>
        <v/>
      </c>
      <c r="F182" t="str">
        <f t="shared" si="7"/>
        <v/>
      </c>
      <c r="G182" t="str">
        <f t="shared" si="8"/>
        <v/>
      </c>
    </row>
    <row r="183" spans="1:7" x14ac:dyDescent="0.3">
      <c r="A183">
        <f>IF('Output Report'!$H$71+2&gt;ROW(A182),ROW(A182),0)</f>
        <v>0</v>
      </c>
      <c r="B183" t="str">
        <f>IF(AND(A183&gt;0,A183&lt;='Output Report'!$H$71+1),B182+MC_hist!$M$11/'Output Report'!$H$71,"")</f>
        <v/>
      </c>
      <c r="C183" t="str">
        <f t="shared" si="6"/>
        <v/>
      </c>
      <c r="D183" s="45" t="str">
        <f>IF(A184&gt;0,C183/'Output Report'!$H$70,"")</f>
        <v/>
      </c>
      <c r="E183" s="46" t="str">
        <f>IF(A184&gt;0,SUM($D$2:D183),"")</f>
        <v/>
      </c>
      <c r="F183" t="str">
        <f t="shared" si="7"/>
        <v/>
      </c>
      <c r="G183" t="str">
        <f t="shared" si="8"/>
        <v/>
      </c>
    </row>
    <row r="184" spans="1:7" x14ac:dyDescent="0.3">
      <c r="A184">
        <f>IF('Output Report'!$H$71+2&gt;ROW(A183),ROW(A183),0)</f>
        <v>0</v>
      </c>
      <c r="B184" t="str">
        <f>IF(AND(A184&gt;0,A184&lt;='Output Report'!$H$71+1),B183+MC_hist!$M$11/'Output Report'!$H$71,"")</f>
        <v/>
      </c>
      <c r="C184" t="str">
        <f t="shared" si="6"/>
        <v/>
      </c>
      <c r="D184" s="45" t="str">
        <f>IF(A185&gt;0,C184/'Output Report'!$H$70,"")</f>
        <v/>
      </c>
      <c r="E184" s="46" t="str">
        <f>IF(A185&gt;0,SUM($D$2:D184),"")</f>
        <v/>
      </c>
      <c r="F184" t="str">
        <f t="shared" si="7"/>
        <v/>
      </c>
      <c r="G184" t="str">
        <f t="shared" si="8"/>
        <v/>
      </c>
    </row>
    <row r="185" spans="1:7" x14ac:dyDescent="0.3">
      <c r="A185">
        <f>IF('Output Report'!$H$71+2&gt;ROW(A184),ROW(A184),0)</f>
        <v>0</v>
      </c>
      <c r="B185" t="str">
        <f>IF(AND(A185&gt;0,A185&lt;='Output Report'!$H$71+1),B184+MC_hist!$M$11/'Output Report'!$H$71,"")</f>
        <v/>
      </c>
      <c r="C185" t="str">
        <f t="shared" si="6"/>
        <v/>
      </c>
      <c r="D185" s="45" t="str">
        <f>IF(A186&gt;0,C185/'Output Report'!$H$70,"")</f>
        <v/>
      </c>
      <c r="E185" s="46" t="str">
        <f>IF(A186&gt;0,SUM($D$2:D185),"")</f>
        <v/>
      </c>
      <c r="F185" t="str">
        <f t="shared" si="7"/>
        <v/>
      </c>
      <c r="G185" t="str">
        <f t="shared" si="8"/>
        <v/>
      </c>
    </row>
    <row r="186" spans="1:7" x14ac:dyDescent="0.3">
      <c r="A186">
        <f>IF('Output Report'!$H$71+2&gt;ROW(A185),ROW(A185),0)</f>
        <v>0</v>
      </c>
      <c r="B186" t="str">
        <f>IF(AND(A186&gt;0,A186&lt;='Output Report'!$H$71+1),B185+MC_hist!$M$11/'Output Report'!$H$71,"")</f>
        <v/>
      </c>
      <c r="C186" t="str">
        <f t="shared" si="6"/>
        <v/>
      </c>
      <c r="D186" s="45" t="str">
        <f>IF(A187&gt;0,C186/'Output Report'!$H$70,"")</f>
        <v/>
      </c>
      <c r="E186" s="46" t="str">
        <f>IF(A187&gt;0,SUM($D$2:D186),"")</f>
        <v/>
      </c>
      <c r="F186" t="str">
        <f t="shared" si="7"/>
        <v/>
      </c>
      <c r="G186" t="str">
        <f t="shared" si="8"/>
        <v/>
      </c>
    </row>
    <row r="187" spans="1:7" x14ac:dyDescent="0.3">
      <c r="A187">
        <f>IF('Output Report'!$H$71+2&gt;ROW(A186),ROW(A186),0)</f>
        <v>0</v>
      </c>
      <c r="B187" t="str">
        <f>IF(AND(A187&gt;0,A187&lt;='Output Report'!$H$71+1),B186+MC_hist!$M$11/'Output Report'!$H$71,"")</f>
        <v/>
      </c>
      <c r="C187" t="str">
        <f t="shared" si="6"/>
        <v/>
      </c>
      <c r="D187" s="45" t="str">
        <f>IF(A188&gt;0,C187/'Output Report'!$H$70,"")</f>
        <v/>
      </c>
      <c r="E187" s="46" t="str">
        <f>IF(A188&gt;0,SUM($D$2:D187),"")</f>
        <v/>
      </c>
      <c r="F187" t="str">
        <f t="shared" si="7"/>
        <v/>
      </c>
      <c r="G187" t="str">
        <f t="shared" si="8"/>
        <v/>
      </c>
    </row>
    <row r="188" spans="1:7" x14ac:dyDescent="0.3">
      <c r="A188">
        <f>IF('Output Report'!$H$71+2&gt;ROW(A187),ROW(A187),0)</f>
        <v>0</v>
      </c>
      <c r="B188" t="str">
        <f>IF(AND(A188&gt;0,A188&lt;='Output Report'!$H$71+1),B187+MC_hist!$M$11/'Output Report'!$H$71,"")</f>
        <v/>
      </c>
      <c r="C188" t="str">
        <f t="shared" si="6"/>
        <v/>
      </c>
      <c r="D188" s="45" t="str">
        <f>IF(A189&gt;0,C188/'Output Report'!$H$70,"")</f>
        <v/>
      </c>
      <c r="E188" s="46" t="str">
        <f>IF(A189&gt;0,SUM($D$2:D188),"")</f>
        <v/>
      </c>
      <c r="F188" t="str">
        <f t="shared" si="7"/>
        <v/>
      </c>
      <c r="G188" t="str">
        <f t="shared" si="8"/>
        <v/>
      </c>
    </row>
    <row r="189" spans="1:7" x14ac:dyDescent="0.3">
      <c r="A189">
        <f>IF('Output Report'!$H$71+2&gt;ROW(A188),ROW(A188),0)</f>
        <v>0</v>
      </c>
      <c r="B189" t="str">
        <f>IF(AND(A189&gt;0,A189&lt;='Output Report'!$H$71+1),B188+MC_hist!$M$11/'Output Report'!$H$71,"")</f>
        <v/>
      </c>
      <c r="C189" t="str">
        <f t="shared" si="6"/>
        <v/>
      </c>
      <c r="D189" s="45" t="str">
        <f>IF(A190&gt;0,C189/'Output Report'!$H$70,"")</f>
        <v/>
      </c>
      <c r="E189" s="46" t="str">
        <f>IF(A190&gt;0,SUM($D$2:D189),"")</f>
        <v/>
      </c>
      <c r="F189" t="str">
        <f t="shared" si="7"/>
        <v/>
      </c>
      <c r="G189" t="str">
        <f t="shared" si="8"/>
        <v/>
      </c>
    </row>
    <row r="190" spans="1:7" x14ac:dyDescent="0.3">
      <c r="A190">
        <f>IF('Output Report'!$H$71+2&gt;ROW(A189),ROW(A189),0)</f>
        <v>0</v>
      </c>
      <c r="B190" t="str">
        <f>IF(AND(A190&gt;0,A190&lt;='Output Report'!$H$71+1),B189+MC_hist!$M$11/'Output Report'!$H$71,"")</f>
        <v/>
      </c>
      <c r="C190" t="str">
        <f t="shared" si="6"/>
        <v/>
      </c>
      <c r="D190" s="45" t="str">
        <f>IF(A191&gt;0,C190/'Output Report'!$H$70,"")</f>
        <v/>
      </c>
      <c r="E190" s="46" t="str">
        <f>IF(A191&gt;0,SUM($D$2:D190),"")</f>
        <v/>
      </c>
      <c r="F190" t="str">
        <f t="shared" si="7"/>
        <v/>
      </c>
      <c r="G190" t="str">
        <f t="shared" si="8"/>
        <v/>
      </c>
    </row>
    <row r="191" spans="1:7" x14ac:dyDescent="0.3">
      <c r="A191">
        <f>IF('Output Report'!$H$71+2&gt;ROW(A190),ROW(A190),0)</f>
        <v>0</v>
      </c>
      <c r="B191" t="str">
        <f>IF(AND(A191&gt;0,A191&lt;='Output Report'!$H$71+1),B190+MC_hist!$M$11/'Output Report'!$H$71,"")</f>
        <v/>
      </c>
      <c r="C191" t="str">
        <f t="shared" si="6"/>
        <v/>
      </c>
      <c r="D191" s="45" t="str">
        <f>IF(A192&gt;0,C191/'Output Report'!$H$70,"")</f>
        <v/>
      </c>
      <c r="E191" s="46" t="str">
        <f>IF(A192&gt;0,SUM($D$2:D191),"")</f>
        <v/>
      </c>
      <c r="F191" t="str">
        <f t="shared" si="7"/>
        <v/>
      </c>
      <c r="G191" t="str">
        <f t="shared" si="8"/>
        <v/>
      </c>
    </row>
    <row r="192" spans="1:7" x14ac:dyDescent="0.3">
      <c r="A192">
        <f>IF('Output Report'!$H$71+2&gt;ROW(A191),ROW(A191),0)</f>
        <v>0</v>
      </c>
      <c r="B192" t="str">
        <f>IF(AND(A192&gt;0,A192&lt;='Output Report'!$H$71+1),B191+MC_hist!$M$11/'Output Report'!$H$71,"")</f>
        <v/>
      </c>
      <c r="C192" t="str">
        <f t="shared" si="6"/>
        <v/>
      </c>
      <c r="D192" s="45" t="str">
        <f>IF(A193&gt;0,C192/'Output Report'!$H$70,"")</f>
        <v/>
      </c>
      <c r="E192" s="46" t="str">
        <f>IF(A193&gt;0,SUM($D$2:D192),"")</f>
        <v/>
      </c>
      <c r="F192" t="str">
        <f t="shared" si="7"/>
        <v/>
      </c>
      <c r="G192" t="str">
        <f t="shared" si="8"/>
        <v/>
      </c>
    </row>
    <row r="193" spans="1:7" x14ac:dyDescent="0.3">
      <c r="A193">
        <f>IF('Output Report'!$H$71+2&gt;ROW(A192),ROW(A192),0)</f>
        <v>0</v>
      </c>
      <c r="B193" t="str">
        <f>IF(AND(A193&gt;0,A193&lt;='Output Report'!$H$71+1),B192+MC_hist!$M$11/'Output Report'!$H$71,"")</f>
        <v/>
      </c>
      <c r="C193" t="str">
        <f t="shared" si="6"/>
        <v/>
      </c>
      <c r="D193" s="45" t="str">
        <f>IF(A194&gt;0,C193/'Output Report'!$H$70,"")</f>
        <v/>
      </c>
      <c r="E193" s="46" t="str">
        <f>IF(A194&gt;0,SUM($D$2:D193),"")</f>
        <v/>
      </c>
      <c r="F193" t="str">
        <f t="shared" si="7"/>
        <v/>
      </c>
      <c r="G193" t="str">
        <f t="shared" si="8"/>
        <v/>
      </c>
    </row>
    <row r="194" spans="1:7" x14ac:dyDescent="0.3">
      <c r="A194">
        <f>IF('Output Report'!$H$71+2&gt;ROW(A193),ROW(A193),0)</f>
        <v>0</v>
      </c>
      <c r="B194" t="str">
        <f>IF(AND(A194&gt;0,A194&lt;='Output Report'!$H$71+1),B193+MC_hist!$M$11/'Output Report'!$H$71,"")</f>
        <v/>
      </c>
      <c r="C194" t="str">
        <f t="shared" ref="C194:C257" si="9">IF(A195&gt;0,COUNTIFS(data_sim,"&gt;"&amp;B194,data_sim,"&lt;="&amp;B195),"")</f>
        <v/>
      </c>
      <c r="D194" s="45" t="str">
        <f>IF(A195&gt;0,C194/'Output Report'!$H$70,"")</f>
        <v/>
      </c>
      <c r="E194" s="46" t="str">
        <f>IF(A195&gt;0,SUM($D$2:D194),"")</f>
        <v/>
      </c>
      <c r="F194" t="str">
        <f t="shared" si="7"/>
        <v/>
      </c>
      <c r="G194" t="str">
        <f t="shared" si="8"/>
        <v/>
      </c>
    </row>
    <row r="195" spans="1:7" x14ac:dyDescent="0.3">
      <c r="A195">
        <f>IF('Output Report'!$H$71+2&gt;ROW(A194),ROW(A194),0)</f>
        <v>0</v>
      </c>
      <c r="B195" t="str">
        <f>IF(AND(A195&gt;0,A195&lt;='Output Report'!$H$71+1),B194+MC_hist!$M$11/'Output Report'!$H$71,"")</f>
        <v/>
      </c>
      <c r="C195" t="str">
        <f t="shared" si="9"/>
        <v/>
      </c>
      <c r="D195" s="45" t="str">
        <f>IF(A196&gt;0,C195/'Output Report'!$H$70,"")</f>
        <v/>
      </c>
      <c r="E195" s="46" t="str">
        <f>IF(A196&gt;0,SUM($D$2:D195),"")</f>
        <v/>
      </c>
      <c r="F195" t="str">
        <f t="shared" ref="F195:F258" si="10">IF(B195&lt;=0,D195,"")</f>
        <v/>
      </c>
      <c r="G195" t="str">
        <f t="shared" ref="G195:G258" si="11">IF(B195&lt;=0,E195,"")</f>
        <v/>
      </c>
    </row>
    <row r="196" spans="1:7" x14ac:dyDescent="0.3">
      <c r="A196">
        <f>IF('Output Report'!$H$71+2&gt;ROW(A195),ROW(A195),0)</f>
        <v>0</v>
      </c>
      <c r="B196" t="str">
        <f>IF(AND(A196&gt;0,A196&lt;='Output Report'!$H$71+1),B195+MC_hist!$M$11/'Output Report'!$H$71,"")</f>
        <v/>
      </c>
      <c r="C196" t="str">
        <f t="shared" si="9"/>
        <v/>
      </c>
      <c r="D196" s="45" t="str">
        <f>IF(A197&gt;0,C196/'Output Report'!$H$70,"")</f>
        <v/>
      </c>
      <c r="E196" s="46" t="str">
        <f>IF(A197&gt;0,SUM($D$2:D196),"")</f>
        <v/>
      </c>
      <c r="F196" t="str">
        <f t="shared" si="10"/>
        <v/>
      </c>
      <c r="G196" t="str">
        <f t="shared" si="11"/>
        <v/>
      </c>
    </row>
    <row r="197" spans="1:7" x14ac:dyDescent="0.3">
      <c r="A197">
        <f>IF('Output Report'!$H$71+2&gt;ROW(A196),ROW(A196),0)</f>
        <v>0</v>
      </c>
      <c r="B197" t="str">
        <f>IF(AND(A197&gt;0,A197&lt;='Output Report'!$H$71+1),B196+MC_hist!$M$11/'Output Report'!$H$71,"")</f>
        <v/>
      </c>
      <c r="C197" t="str">
        <f t="shared" si="9"/>
        <v/>
      </c>
      <c r="D197" s="45" t="str">
        <f>IF(A198&gt;0,C197/'Output Report'!$H$70,"")</f>
        <v/>
      </c>
      <c r="E197" s="46" t="str">
        <f>IF(A198&gt;0,SUM($D$2:D197),"")</f>
        <v/>
      </c>
      <c r="F197" t="str">
        <f t="shared" si="10"/>
        <v/>
      </c>
      <c r="G197" t="str">
        <f t="shared" si="11"/>
        <v/>
      </c>
    </row>
    <row r="198" spans="1:7" x14ac:dyDescent="0.3">
      <c r="A198">
        <f>IF('Output Report'!$H$71+2&gt;ROW(A197),ROW(A197),0)</f>
        <v>0</v>
      </c>
      <c r="B198" t="str">
        <f>IF(AND(A198&gt;0,A198&lt;='Output Report'!$H$71+1),B197+MC_hist!$M$11/'Output Report'!$H$71,"")</f>
        <v/>
      </c>
      <c r="C198" t="str">
        <f t="shared" si="9"/>
        <v/>
      </c>
      <c r="D198" s="45" t="str">
        <f>IF(A199&gt;0,C198/'Output Report'!$H$70,"")</f>
        <v/>
      </c>
      <c r="E198" s="46" t="str">
        <f>IF(A199&gt;0,SUM($D$2:D198),"")</f>
        <v/>
      </c>
      <c r="F198" t="str">
        <f t="shared" si="10"/>
        <v/>
      </c>
      <c r="G198" t="str">
        <f t="shared" si="11"/>
        <v/>
      </c>
    </row>
    <row r="199" spans="1:7" x14ac:dyDescent="0.3">
      <c r="A199">
        <f>IF('Output Report'!$H$71+2&gt;ROW(A198),ROW(A198),0)</f>
        <v>0</v>
      </c>
      <c r="B199" t="str">
        <f>IF(AND(A199&gt;0,A199&lt;='Output Report'!$H$71+1),B198+MC_hist!$M$11/'Output Report'!$H$71,"")</f>
        <v/>
      </c>
      <c r="C199" t="str">
        <f t="shared" si="9"/>
        <v/>
      </c>
      <c r="D199" s="45" t="str">
        <f>IF(A200&gt;0,C199/'Output Report'!$H$70,"")</f>
        <v/>
      </c>
      <c r="E199" s="46" t="str">
        <f>IF(A200&gt;0,SUM($D$2:D199),"")</f>
        <v/>
      </c>
      <c r="F199" t="str">
        <f t="shared" si="10"/>
        <v/>
      </c>
      <c r="G199" t="str">
        <f t="shared" si="11"/>
        <v/>
      </c>
    </row>
    <row r="200" spans="1:7" x14ac:dyDescent="0.3">
      <c r="A200">
        <f>IF('Output Report'!$H$71+2&gt;ROW(A199),ROW(A199),0)</f>
        <v>0</v>
      </c>
      <c r="B200" t="str">
        <f>IF(AND(A200&gt;0,A200&lt;='Output Report'!$H$71+1),B199+MC_hist!$M$11/'Output Report'!$H$71,"")</f>
        <v/>
      </c>
      <c r="C200" t="str">
        <f t="shared" si="9"/>
        <v/>
      </c>
      <c r="D200" s="45" t="str">
        <f>IF(A201&gt;0,C200/'Output Report'!$H$70,"")</f>
        <v/>
      </c>
      <c r="E200" s="46" t="str">
        <f>IF(A201&gt;0,SUM($D$2:D200),"")</f>
        <v/>
      </c>
      <c r="F200" t="str">
        <f t="shared" si="10"/>
        <v/>
      </c>
      <c r="G200" t="str">
        <f t="shared" si="11"/>
        <v/>
      </c>
    </row>
    <row r="201" spans="1:7" x14ac:dyDescent="0.3">
      <c r="A201">
        <f>IF('Output Report'!$H$71+2&gt;ROW(A200),ROW(A200),0)</f>
        <v>0</v>
      </c>
      <c r="B201" t="str">
        <f>IF(AND(A201&gt;0,A201&lt;='Output Report'!$H$71+1),B200+MC_hist!$M$11/'Output Report'!$H$71,"")</f>
        <v/>
      </c>
      <c r="C201" t="str">
        <f t="shared" si="9"/>
        <v/>
      </c>
      <c r="D201" s="45" t="str">
        <f>IF(A202&gt;0,C201/'Output Report'!$H$70,"")</f>
        <v/>
      </c>
      <c r="E201" s="46" t="str">
        <f>IF(A202&gt;0,SUM($D$2:D201),"")</f>
        <v/>
      </c>
      <c r="F201" t="str">
        <f t="shared" si="10"/>
        <v/>
      </c>
      <c r="G201" t="str">
        <f t="shared" si="11"/>
        <v/>
      </c>
    </row>
    <row r="202" spans="1:7" x14ac:dyDescent="0.3">
      <c r="A202">
        <f>IF('Output Report'!$H$71+2&gt;ROW(A201),ROW(A201),0)</f>
        <v>0</v>
      </c>
      <c r="B202" t="str">
        <f>IF(AND(A202&gt;0,A202&lt;='Output Report'!$H$71+1),B201+MC_hist!$M$11/'Output Report'!$H$71,"")</f>
        <v/>
      </c>
      <c r="C202" t="str">
        <f t="shared" si="9"/>
        <v/>
      </c>
      <c r="D202" s="45" t="str">
        <f>IF(A203&gt;0,C202/'Output Report'!$H$70,"")</f>
        <v/>
      </c>
      <c r="E202" s="46" t="str">
        <f>IF(A203&gt;0,SUM($D$2:D202),"")</f>
        <v/>
      </c>
      <c r="F202" t="str">
        <f t="shared" si="10"/>
        <v/>
      </c>
      <c r="G202" t="str">
        <f t="shared" si="11"/>
        <v/>
      </c>
    </row>
    <row r="203" spans="1:7" x14ac:dyDescent="0.3">
      <c r="A203">
        <f>IF('Output Report'!$H$71+2&gt;ROW(A202),ROW(A202),0)</f>
        <v>0</v>
      </c>
      <c r="B203" t="str">
        <f>IF(AND(A203&gt;0,A203&lt;='Output Report'!$H$71+1),B202+MC_hist!$M$11/'Output Report'!$H$71,"")</f>
        <v/>
      </c>
      <c r="C203" t="str">
        <f t="shared" si="9"/>
        <v/>
      </c>
      <c r="D203" s="45" t="str">
        <f>IF(A204&gt;0,C203/'Output Report'!$H$70,"")</f>
        <v/>
      </c>
      <c r="E203" s="46" t="str">
        <f>IF(A204&gt;0,SUM($D$2:D203),"")</f>
        <v/>
      </c>
      <c r="F203" t="str">
        <f t="shared" si="10"/>
        <v/>
      </c>
      <c r="G203" t="str">
        <f t="shared" si="11"/>
        <v/>
      </c>
    </row>
    <row r="204" spans="1:7" x14ac:dyDescent="0.3">
      <c r="A204">
        <f>IF('Output Report'!$H$71+2&gt;ROW(A203),ROW(A203),0)</f>
        <v>0</v>
      </c>
      <c r="B204" t="str">
        <f>IF(AND(A204&gt;0,A204&lt;='Output Report'!$H$71+1),B203+MC_hist!$M$11/'Output Report'!$H$71,"")</f>
        <v/>
      </c>
      <c r="C204" t="str">
        <f t="shared" si="9"/>
        <v/>
      </c>
      <c r="D204" s="45" t="str">
        <f>IF(A205&gt;0,C204/'Output Report'!$H$70,"")</f>
        <v/>
      </c>
      <c r="E204" s="46" t="str">
        <f>IF(A205&gt;0,SUM($D$2:D204),"")</f>
        <v/>
      </c>
      <c r="F204" t="str">
        <f t="shared" si="10"/>
        <v/>
      </c>
      <c r="G204" t="str">
        <f t="shared" si="11"/>
        <v/>
      </c>
    </row>
    <row r="205" spans="1:7" x14ac:dyDescent="0.3">
      <c r="A205">
        <f>IF('Output Report'!$H$71+2&gt;ROW(A204),ROW(A204),0)</f>
        <v>0</v>
      </c>
      <c r="B205" t="str">
        <f>IF(AND(A205&gt;0,A205&lt;='Output Report'!$H$71+1),B204+MC_hist!$M$11/'Output Report'!$H$71,"")</f>
        <v/>
      </c>
      <c r="C205" t="str">
        <f t="shared" si="9"/>
        <v/>
      </c>
      <c r="D205" s="45" t="str">
        <f>IF(A206&gt;0,C205/'Output Report'!$H$70,"")</f>
        <v/>
      </c>
      <c r="E205" s="46" t="str">
        <f>IF(A206&gt;0,SUM($D$2:D205),"")</f>
        <v/>
      </c>
      <c r="F205" t="str">
        <f t="shared" si="10"/>
        <v/>
      </c>
      <c r="G205" t="str">
        <f t="shared" si="11"/>
        <v/>
      </c>
    </row>
    <row r="206" spans="1:7" x14ac:dyDescent="0.3">
      <c r="A206">
        <f>IF('Output Report'!$H$71+2&gt;ROW(A205),ROW(A205),0)</f>
        <v>0</v>
      </c>
      <c r="B206" t="str">
        <f>IF(AND(A206&gt;0,A206&lt;='Output Report'!$H$71+1),B205+MC_hist!$M$11/'Output Report'!$H$71,"")</f>
        <v/>
      </c>
      <c r="C206" t="str">
        <f t="shared" si="9"/>
        <v/>
      </c>
      <c r="D206" s="45" t="str">
        <f>IF(A207&gt;0,C206/'Output Report'!$H$70,"")</f>
        <v/>
      </c>
      <c r="E206" s="46" t="str">
        <f>IF(A207&gt;0,SUM($D$2:D206),"")</f>
        <v/>
      </c>
      <c r="F206" t="str">
        <f t="shared" si="10"/>
        <v/>
      </c>
      <c r="G206" t="str">
        <f t="shared" si="11"/>
        <v/>
      </c>
    </row>
    <row r="207" spans="1:7" x14ac:dyDescent="0.3">
      <c r="A207">
        <f>IF('Output Report'!$H$71+2&gt;ROW(A206),ROW(A206),0)</f>
        <v>0</v>
      </c>
      <c r="B207" t="str">
        <f>IF(AND(A207&gt;0,A207&lt;='Output Report'!$H$71+1),B206+MC_hist!$M$11/'Output Report'!$H$71,"")</f>
        <v/>
      </c>
      <c r="C207" t="str">
        <f t="shared" si="9"/>
        <v/>
      </c>
      <c r="D207" s="45" t="str">
        <f>IF(A208&gt;0,C207/'Output Report'!$H$70,"")</f>
        <v/>
      </c>
      <c r="E207" s="46" t="str">
        <f>IF(A208&gt;0,SUM($D$2:D207),"")</f>
        <v/>
      </c>
      <c r="F207" t="str">
        <f t="shared" si="10"/>
        <v/>
      </c>
      <c r="G207" t="str">
        <f t="shared" si="11"/>
        <v/>
      </c>
    </row>
    <row r="208" spans="1:7" x14ac:dyDescent="0.3">
      <c r="A208">
        <f>IF('Output Report'!$H$71+2&gt;ROW(A207),ROW(A207),0)</f>
        <v>0</v>
      </c>
      <c r="B208" t="str">
        <f>IF(AND(A208&gt;0,A208&lt;='Output Report'!$H$71+1),B207+MC_hist!$M$11/'Output Report'!$H$71,"")</f>
        <v/>
      </c>
      <c r="C208" t="str">
        <f t="shared" si="9"/>
        <v/>
      </c>
      <c r="D208" s="45" t="str">
        <f>IF(A209&gt;0,C208/'Output Report'!$H$70,"")</f>
        <v/>
      </c>
      <c r="E208" s="46" t="str">
        <f>IF(A209&gt;0,SUM($D$2:D208),"")</f>
        <v/>
      </c>
      <c r="F208" t="str">
        <f t="shared" si="10"/>
        <v/>
      </c>
      <c r="G208" t="str">
        <f t="shared" si="11"/>
        <v/>
      </c>
    </row>
    <row r="209" spans="1:7" x14ac:dyDescent="0.3">
      <c r="A209">
        <f>IF('Output Report'!$H$71+2&gt;ROW(A208),ROW(A208),0)</f>
        <v>0</v>
      </c>
      <c r="B209" t="str">
        <f>IF(AND(A209&gt;0,A209&lt;='Output Report'!$H$71+1),B208+MC_hist!$M$11/'Output Report'!$H$71,"")</f>
        <v/>
      </c>
      <c r="C209" t="str">
        <f t="shared" si="9"/>
        <v/>
      </c>
      <c r="D209" s="45" t="str">
        <f>IF(A210&gt;0,C209/'Output Report'!$H$70,"")</f>
        <v/>
      </c>
      <c r="E209" s="46" t="str">
        <f>IF(A210&gt;0,SUM($D$2:D209),"")</f>
        <v/>
      </c>
      <c r="F209" t="str">
        <f t="shared" si="10"/>
        <v/>
      </c>
      <c r="G209" t="str">
        <f t="shared" si="11"/>
        <v/>
      </c>
    </row>
    <row r="210" spans="1:7" x14ac:dyDescent="0.3">
      <c r="A210">
        <f>IF('Output Report'!$H$71+2&gt;ROW(A209),ROW(A209),0)</f>
        <v>0</v>
      </c>
      <c r="B210" t="str">
        <f>IF(AND(A210&gt;0,A210&lt;='Output Report'!$H$71+1),B209+MC_hist!$M$11/'Output Report'!$H$71,"")</f>
        <v/>
      </c>
      <c r="C210" t="str">
        <f t="shared" si="9"/>
        <v/>
      </c>
      <c r="D210" s="45" t="str">
        <f>IF(A211&gt;0,C210/'Output Report'!$H$70,"")</f>
        <v/>
      </c>
      <c r="E210" s="46" t="str">
        <f>IF(A211&gt;0,SUM($D$2:D210),"")</f>
        <v/>
      </c>
      <c r="F210" t="str">
        <f t="shared" si="10"/>
        <v/>
      </c>
      <c r="G210" t="str">
        <f t="shared" si="11"/>
        <v/>
      </c>
    </row>
    <row r="211" spans="1:7" x14ac:dyDescent="0.3">
      <c r="A211">
        <f>IF('Output Report'!$H$71+2&gt;ROW(A210),ROW(A210),0)</f>
        <v>0</v>
      </c>
      <c r="B211" t="str">
        <f>IF(AND(A211&gt;0,A211&lt;='Output Report'!$H$71+1),B210+MC_hist!$M$11/'Output Report'!$H$71,"")</f>
        <v/>
      </c>
      <c r="C211" t="str">
        <f t="shared" si="9"/>
        <v/>
      </c>
      <c r="D211" s="45" t="str">
        <f>IF(A212&gt;0,C211/'Output Report'!$H$70,"")</f>
        <v/>
      </c>
      <c r="E211" s="46" t="str">
        <f>IF(A212&gt;0,SUM($D$2:D211),"")</f>
        <v/>
      </c>
      <c r="F211" t="str">
        <f t="shared" si="10"/>
        <v/>
      </c>
      <c r="G211" t="str">
        <f t="shared" si="11"/>
        <v/>
      </c>
    </row>
    <row r="212" spans="1:7" x14ac:dyDescent="0.3">
      <c r="A212">
        <f>IF('Output Report'!$H$71+2&gt;ROW(A211),ROW(A211),0)</f>
        <v>0</v>
      </c>
      <c r="B212" t="str">
        <f>IF(AND(A212&gt;0,A212&lt;='Output Report'!$H$71+1),B211+MC_hist!$M$11/'Output Report'!$H$71,"")</f>
        <v/>
      </c>
      <c r="C212" t="str">
        <f t="shared" si="9"/>
        <v/>
      </c>
      <c r="D212" s="45" t="str">
        <f>IF(A213&gt;0,C212/'Output Report'!$H$70,"")</f>
        <v/>
      </c>
      <c r="E212" s="46" t="str">
        <f>IF(A213&gt;0,SUM($D$2:D212),"")</f>
        <v/>
      </c>
      <c r="F212" t="str">
        <f t="shared" si="10"/>
        <v/>
      </c>
      <c r="G212" t="str">
        <f t="shared" si="11"/>
        <v/>
      </c>
    </row>
    <row r="213" spans="1:7" x14ac:dyDescent="0.3">
      <c r="A213">
        <f>IF('Output Report'!$H$71+2&gt;ROW(A212),ROW(A212),0)</f>
        <v>0</v>
      </c>
      <c r="B213" t="str">
        <f>IF(AND(A213&gt;0,A213&lt;='Output Report'!$H$71+1),B212+MC_hist!$M$11/'Output Report'!$H$71,"")</f>
        <v/>
      </c>
      <c r="C213" t="str">
        <f t="shared" si="9"/>
        <v/>
      </c>
      <c r="D213" s="45" t="str">
        <f>IF(A214&gt;0,C213/'Output Report'!$H$70,"")</f>
        <v/>
      </c>
      <c r="E213" s="46" t="str">
        <f>IF(A214&gt;0,SUM($D$2:D213),"")</f>
        <v/>
      </c>
      <c r="F213" t="str">
        <f t="shared" si="10"/>
        <v/>
      </c>
      <c r="G213" t="str">
        <f t="shared" si="11"/>
        <v/>
      </c>
    </row>
    <row r="214" spans="1:7" x14ac:dyDescent="0.3">
      <c r="A214">
        <f>IF('Output Report'!$H$71+2&gt;ROW(A213),ROW(A213),0)</f>
        <v>0</v>
      </c>
      <c r="B214" t="str">
        <f>IF(AND(A214&gt;0,A214&lt;='Output Report'!$H$71+1),B213+MC_hist!$M$11/'Output Report'!$H$71,"")</f>
        <v/>
      </c>
      <c r="C214" t="str">
        <f t="shared" si="9"/>
        <v/>
      </c>
      <c r="D214" s="45" t="str">
        <f>IF(A215&gt;0,C214/'Output Report'!$H$70,"")</f>
        <v/>
      </c>
      <c r="E214" s="46" t="str">
        <f>IF(A215&gt;0,SUM($D$2:D214),"")</f>
        <v/>
      </c>
      <c r="F214" t="str">
        <f t="shared" si="10"/>
        <v/>
      </c>
      <c r="G214" t="str">
        <f t="shared" si="11"/>
        <v/>
      </c>
    </row>
    <row r="215" spans="1:7" x14ac:dyDescent="0.3">
      <c r="A215">
        <f>IF('Output Report'!$H$71+2&gt;ROW(A214),ROW(A214),0)</f>
        <v>0</v>
      </c>
      <c r="B215" t="str">
        <f>IF(AND(A215&gt;0,A215&lt;='Output Report'!$H$71+1),B214+MC_hist!$M$11/'Output Report'!$H$71,"")</f>
        <v/>
      </c>
      <c r="C215" t="str">
        <f t="shared" si="9"/>
        <v/>
      </c>
      <c r="D215" s="45" t="str">
        <f>IF(A216&gt;0,C215/'Output Report'!$H$70,"")</f>
        <v/>
      </c>
      <c r="E215" s="46" t="str">
        <f>IF(A216&gt;0,SUM($D$2:D215),"")</f>
        <v/>
      </c>
      <c r="F215" t="str">
        <f t="shared" si="10"/>
        <v/>
      </c>
      <c r="G215" t="str">
        <f t="shared" si="11"/>
        <v/>
      </c>
    </row>
    <row r="216" spans="1:7" x14ac:dyDescent="0.3">
      <c r="A216">
        <f>IF('Output Report'!$H$71+2&gt;ROW(A215),ROW(A215),0)</f>
        <v>0</v>
      </c>
      <c r="B216" t="str">
        <f>IF(AND(A216&gt;0,A216&lt;='Output Report'!$H$71+1),B215+MC_hist!$M$11/'Output Report'!$H$71,"")</f>
        <v/>
      </c>
      <c r="C216" t="str">
        <f t="shared" si="9"/>
        <v/>
      </c>
      <c r="D216" s="45" t="str">
        <f>IF(A217&gt;0,C216/'Output Report'!$H$70,"")</f>
        <v/>
      </c>
      <c r="E216" s="46" t="str">
        <f>IF(A217&gt;0,SUM($D$2:D216),"")</f>
        <v/>
      </c>
      <c r="F216" t="str">
        <f t="shared" si="10"/>
        <v/>
      </c>
      <c r="G216" t="str">
        <f t="shared" si="11"/>
        <v/>
      </c>
    </row>
    <row r="217" spans="1:7" x14ac:dyDescent="0.3">
      <c r="A217">
        <f>IF('Output Report'!$H$71+2&gt;ROW(A216),ROW(A216),0)</f>
        <v>0</v>
      </c>
      <c r="B217" t="str">
        <f>IF(AND(A217&gt;0,A217&lt;='Output Report'!$H$71+1),B216+MC_hist!$M$11/'Output Report'!$H$71,"")</f>
        <v/>
      </c>
      <c r="C217" t="str">
        <f t="shared" si="9"/>
        <v/>
      </c>
      <c r="D217" s="45" t="str">
        <f>IF(A218&gt;0,C217/'Output Report'!$H$70,"")</f>
        <v/>
      </c>
      <c r="E217" s="46" t="str">
        <f>IF(A218&gt;0,SUM($D$2:D217),"")</f>
        <v/>
      </c>
      <c r="F217" t="str">
        <f t="shared" si="10"/>
        <v/>
      </c>
      <c r="G217" t="str">
        <f t="shared" si="11"/>
        <v/>
      </c>
    </row>
    <row r="218" spans="1:7" x14ac:dyDescent="0.3">
      <c r="A218">
        <f>IF('Output Report'!$H$71+2&gt;ROW(A217),ROW(A217),0)</f>
        <v>0</v>
      </c>
      <c r="B218" t="str">
        <f>IF(AND(A218&gt;0,A218&lt;='Output Report'!$H$71+1),B217+MC_hist!$M$11/'Output Report'!$H$71,"")</f>
        <v/>
      </c>
      <c r="C218" t="str">
        <f t="shared" si="9"/>
        <v/>
      </c>
      <c r="D218" s="45" t="str">
        <f>IF(A219&gt;0,C218/'Output Report'!$H$70,"")</f>
        <v/>
      </c>
      <c r="E218" s="46" t="str">
        <f>IF(A219&gt;0,SUM($D$2:D218),"")</f>
        <v/>
      </c>
      <c r="F218" t="str">
        <f t="shared" si="10"/>
        <v/>
      </c>
      <c r="G218" t="str">
        <f t="shared" si="11"/>
        <v/>
      </c>
    </row>
    <row r="219" spans="1:7" x14ac:dyDescent="0.3">
      <c r="A219">
        <f>IF('Output Report'!$H$71+2&gt;ROW(A218),ROW(A218),0)</f>
        <v>0</v>
      </c>
      <c r="B219" t="str">
        <f>IF(AND(A219&gt;0,A219&lt;='Output Report'!$H$71+1),B218+MC_hist!$M$11/'Output Report'!$H$71,"")</f>
        <v/>
      </c>
      <c r="C219" t="str">
        <f t="shared" si="9"/>
        <v/>
      </c>
      <c r="D219" s="45" t="str">
        <f>IF(A220&gt;0,C219/'Output Report'!$H$70,"")</f>
        <v/>
      </c>
      <c r="E219" s="46" t="str">
        <f>IF(A220&gt;0,SUM($D$2:D219),"")</f>
        <v/>
      </c>
      <c r="F219" t="str">
        <f t="shared" si="10"/>
        <v/>
      </c>
      <c r="G219" t="str">
        <f t="shared" si="11"/>
        <v/>
      </c>
    </row>
    <row r="220" spans="1:7" x14ac:dyDescent="0.3">
      <c r="A220">
        <f>IF('Output Report'!$H$71+2&gt;ROW(A219),ROW(A219),0)</f>
        <v>0</v>
      </c>
      <c r="B220" t="str">
        <f>IF(AND(A220&gt;0,A220&lt;='Output Report'!$H$71+1),B219+MC_hist!$M$11/'Output Report'!$H$71,"")</f>
        <v/>
      </c>
      <c r="C220" t="str">
        <f t="shared" si="9"/>
        <v/>
      </c>
      <c r="D220" s="45" t="str">
        <f>IF(A221&gt;0,C220/'Output Report'!$H$70,"")</f>
        <v/>
      </c>
      <c r="E220" s="46" t="str">
        <f>IF(A221&gt;0,SUM($D$2:D220),"")</f>
        <v/>
      </c>
      <c r="F220" t="str">
        <f t="shared" si="10"/>
        <v/>
      </c>
      <c r="G220" t="str">
        <f t="shared" si="11"/>
        <v/>
      </c>
    </row>
    <row r="221" spans="1:7" x14ac:dyDescent="0.3">
      <c r="A221">
        <f>IF('Output Report'!$H$71+2&gt;ROW(A220),ROW(A220),0)</f>
        <v>0</v>
      </c>
      <c r="B221" t="str">
        <f>IF(AND(A221&gt;0,A221&lt;='Output Report'!$H$71+1),B220+MC_hist!$M$11/'Output Report'!$H$71,"")</f>
        <v/>
      </c>
      <c r="C221" t="str">
        <f t="shared" si="9"/>
        <v/>
      </c>
      <c r="D221" s="45" t="str">
        <f>IF(A222&gt;0,C221/'Output Report'!$H$70,"")</f>
        <v/>
      </c>
      <c r="E221" s="46" t="str">
        <f>IF(A222&gt;0,SUM($D$2:D221),"")</f>
        <v/>
      </c>
      <c r="F221" t="str">
        <f t="shared" si="10"/>
        <v/>
      </c>
      <c r="G221" t="str">
        <f t="shared" si="11"/>
        <v/>
      </c>
    </row>
    <row r="222" spans="1:7" x14ac:dyDescent="0.3">
      <c r="A222">
        <f>IF('Output Report'!$H$71+2&gt;ROW(A221),ROW(A221),0)</f>
        <v>0</v>
      </c>
      <c r="B222" t="str">
        <f>IF(AND(A222&gt;0,A222&lt;='Output Report'!$H$71+1),B221+MC_hist!$M$11/'Output Report'!$H$71,"")</f>
        <v/>
      </c>
      <c r="C222" t="str">
        <f t="shared" si="9"/>
        <v/>
      </c>
      <c r="D222" s="45" t="str">
        <f>IF(A223&gt;0,C222/'Output Report'!$H$70,"")</f>
        <v/>
      </c>
      <c r="E222" s="46" t="str">
        <f>IF(A223&gt;0,SUM($D$2:D222),"")</f>
        <v/>
      </c>
      <c r="F222" t="str">
        <f t="shared" si="10"/>
        <v/>
      </c>
      <c r="G222" t="str">
        <f t="shared" si="11"/>
        <v/>
      </c>
    </row>
    <row r="223" spans="1:7" x14ac:dyDescent="0.3">
      <c r="A223">
        <f>IF('Output Report'!$H$71+2&gt;ROW(A222),ROW(A222),0)</f>
        <v>0</v>
      </c>
      <c r="B223" t="str">
        <f>IF(AND(A223&gt;0,A223&lt;='Output Report'!$H$71+1),B222+MC_hist!$M$11/'Output Report'!$H$71,"")</f>
        <v/>
      </c>
      <c r="C223" t="str">
        <f t="shared" si="9"/>
        <v/>
      </c>
      <c r="D223" s="45" t="str">
        <f>IF(A224&gt;0,C223/'Output Report'!$H$70,"")</f>
        <v/>
      </c>
      <c r="E223" s="46" t="str">
        <f>IF(A224&gt;0,SUM($D$2:D223),"")</f>
        <v/>
      </c>
      <c r="F223" t="str">
        <f t="shared" si="10"/>
        <v/>
      </c>
      <c r="G223" t="str">
        <f t="shared" si="11"/>
        <v/>
      </c>
    </row>
    <row r="224" spans="1:7" x14ac:dyDescent="0.3">
      <c r="A224">
        <f>IF('Output Report'!$H$71+2&gt;ROW(A223),ROW(A223),0)</f>
        <v>0</v>
      </c>
      <c r="B224" t="str">
        <f>IF(AND(A224&gt;0,A224&lt;='Output Report'!$H$71+1),B223+MC_hist!$M$11/'Output Report'!$H$71,"")</f>
        <v/>
      </c>
      <c r="C224" t="str">
        <f t="shared" si="9"/>
        <v/>
      </c>
      <c r="D224" s="45" t="str">
        <f>IF(A225&gt;0,C224/'Output Report'!$H$70,"")</f>
        <v/>
      </c>
      <c r="E224" s="46" t="str">
        <f>IF(A225&gt;0,SUM($D$2:D224),"")</f>
        <v/>
      </c>
      <c r="F224" t="str">
        <f t="shared" si="10"/>
        <v/>
      </c>
      <c r="G224" t="str">
        <f t="shared" si="11"/>
        <v/>
      </c>
    </row>
    <row r="225" spans="1:7" x14ac:dyDescent="0.3">
      <c r="A225">
        <f>IF('Output Report'!$H$71+2&gt;ROW(A224),ROW(A224),0)</f>
        <v>0</v>
      </c>
      <c r="B225" t="str">
        <f>IF(AND(A225&gt;0,A225&lt;='Output Report'!$H$71+1),B224+MC_hist!$M$11/'Output Report'!$H$71,"")</f>
        <v/>
      </c>
      <c r="C225" t="str">
        <f t="shared" si="9"/>
        <v/>
      </c>
      <c r="D225" s="45" t="str">
        <f>IF(A226&gt;0,C225/'Output Report'!$H$70,"")</f>
        <v/>
      </c>
      <c r="E225" s="46" t="str">
        <f>IF(A226&gt;0,SUM($D$2:D225),"")</f>
        <v/>
      </c>
      <c r="F225" t="str">
        <f t="shared" si="10"/>
        <v/>
      </c>
      <c r="G225" t="str">
        <f t="shared" si="11"/>
        <v/>
      </c>
    </row>
    <row r="226" spans="1:7" x14ac:dyDescent="0.3">
      <c r="A226">
        <f>IF('Output Report'!$H$71+2&gt;ROW(A225),ROW(A225),0)</f>
        <v>0</v>
      </c>
      <c r="B226" t="str">
        <f>IF(AND(A226&gt;0,A226&lt;='Output Report'!$H$71+1),B225+MC_hist!$M$11/'Output Report'!$H$71,"")</f>
        <v/>
      </c>
      <c r="C226" t="str">
        <f t="shared" si="9"/>
        <v/>
      </c>
      <c r="D226" s="45" t="str">
        <f>IF(A227&gt;0,C226/'Output Report'!$H$70,"")</f>
        <v/>
      </c>
      <c r="E226" s="46" t="str">
        <f>IF(A227&gt;0,SUM($D$2:D226),"")</f>
        <v/>
      </c>
      <c r="F226" t="str">
        <f t="shared" si="10"/>
        <v/>
      </c>
      <c r="G226" t="str">
        <f t="shared" si="11"/>
        <v/>
      </c>
    </row>
    <row r="227" spans="1:7" x14ac:dyDescent="0.3">
      <c r="A227">
        <f>IF('Output Report'!$H$71+2&gt;ROW(A226),ROW(A226),0)</f>
        <v>0</v>
      </c>
      <c r="B227" t="str">
        <f>IF(AND(A227&gt;0,A227&lt;='Output Report'!$H$71+1),B226+MC_hist!$M$11/'Output Report'!$H$71,"")</f>
        <v/>
      </c>
      <c r="C227" t="str">
        <f t="shared" si="9"/>
        <v/>
      </c>
      <c r="D227" s="45" t="str">
        <f>IF(A228&gt;0,C227/'Output Report'!$H$70,"")</f>
        <v/>
      </c>
      <c r="E227" s="46" t="str">
        <f>IF(A228&gt;0,SUM($D$2:D227),"")</f>
        <v/>
      </c>
      <c r="F227" t="str">
        <f t="shared" si="10"/>
        <v/>
      </c>
      <c r="G227" t="str">
        <f t="shared" si="11"/>
        <v/>
      </c>
    </row>
    <row r="228" spans="1:7" x14ac:dyDescent="0.3">
      <c r="A228">
        <f>IF('Output Report'!$H$71+2&gt;ROW(A227),ROW(A227),0)</f>
        <v>0</v>
      </c>
      <c r="B228" t="str">
        <f>IF(AND(A228&gt;0,A228&lt;='Output Report'!$H$71+1),B227+MC_hist!$M$11/'Output Report'!$H$71,"")</f>
        <v/>
      </c>
      <c r="C228" t="str">
        <f t="shared" si="9"/>
        <v/>
      </c>
      <c r="D228" s="45" t="str">
        <f>IF(A229&gt;0,C228/'Output Report'!$H$70,"")</f>
        <v/>
      </c>
      <c r="E228" s="46" t="str">
        <f>IF(A229&gt;0,SUM($D$2:D228),"")</f>
        <v/>
      </c>
      <c r="F228" t="str">
        <f t="shared" si="10"/>
        <v/>
      </c>
      <c r="G228" t="str">
        <f t="shared" si="11"/>
        <v/>
      </c>
    </row>
    <row r="229" spans="1:7" x14ac:dyDescent="0.3">
      <c r="A229">
        <f>IF('Output Report'!$H$71+2&gt;ROW(A228),ROW(A228),0)</f>
        <v>0</v>
      </c>
      <c r="B229" t="str">
        <f>IF(AND(A229&gt;0,A229&lt;='Output Report'!$H$71+1),B228+MC_hist!$M$11/'Output Report'!$H$71,"")</f>
        <v/>
      </c>
      <c r="C229" t="str">
        <f t="shared" si="9"/>
        <v/>
      </c>
      <c r="D229" s="45" t="str">
        <f>IF(A230&gt;0,C229/'Output Report'!$H$70,"")</f>
        <v/>
      </c>
      <c r="E229" s="46" t="str">
        <f>IF(A230&gt;0,SUM($D$2:D229),"")</f>
        <v/>
      </c>
      <c r="F229" t="str">
        <f t="shared" si="10"/>
        <v/>
      </c>
      <c r="G229" t="str">
        <f t="shared" si="11"/>
        <v/>
      </c>
    </row>
    <row r="230" spans="1:7" x14ac:dyDescent="0.3">
      <c r="A230">
        <f>IF('Output Report'!$H$71+2&gt;ROW(A229),ROW(A229),0)</f>
        <v>0</v>
      </c>
      <c r="B230" t="str">
        <f>IF(AND(A230&gt;0,A230&lt;='Output Report'!$H$71+1),B229+MC_hist!$M$11/'Output Report'!$H$71,"")</f>
        <v/>
      </c>
      <c r="C230" t="str">
        <f t="shared" si="9"/>
        <v/>
      </c>
      <c r="D230" s="45" t="str">
        <f>IF(A231&gt;0,C230/'Output Report'!$H$70,"")</f>
        <v/>
      </c>
      <c r="E230" s="46" t="str">
        <f>IF(A231&gt;0,SUM($D$2:D230),"")</f>
        <v/>
      </c>
      <c r="F230" t="str">
        <f t="shared" si="10"/>
        <v/>
      </c>
      <c r="G230" t="str">
        <f t="shared" si="11"/>
        <v/>
      </c>
    </row>
    <row r="231" spans="1:7" x14ac:dyDescent="0.3">
      <c r="A231">
        <f>IF('Output Report'!$H$71+2&gt;ROW(A230),ROW(A230),0)</f>
        <v>0</v>
      </c>
      <c r="B231" t="str">
        <f>IF(AND(A231&gt;0,A231&lt;='Output Report'!$H$71+1),B230+MC_hist!$M$11/'Output Report'!$H$71,"")</f>
        <v/>
      </c>
      <c r="C231" t="str">
        <f t="shared" si="9"/>
        <v/>
      </c>
      <c r="D231" s="45" t="str">
        <f>IF(A232&gt;0,C231/'Output Report'!$H$70,"")</f>
        <v/>
      </c>
      <c r="E231" s="46" t="str">
        <f>IF(A232&gt;0,SUM($D$2:D231),"")</f>
        <v/>
      </c>
      <c r="F231" t="str">
        <f t="shared" si="10"/>
        <v/>
      </c>
      <c r="G231" t="str">
        <f t="shared" si="11"/>
        <v/>
      </c>
    </row>
    <row r="232" spans="1:7" x14ac:dyDescent="0.3">
      <c r="A232">
        <f>IF('Output Report'!$H$71+2&gt;ROW(A231),ROW(A231),0)</f>
        <v>0</v>
      </c>
      <c r="B232" t="str">
        <f>IF(AND(A232&gt;0,A232&lt;='Output Report'!$H$71+1),B231+MC_hist!$M$11/'Output Report'!$H$71,"")</f>
        <v/>
      </c>
      <c r="C232" t="str">
        <f t="shared" si="9"/>
        <v/>
      </c>
      <c r="D232" s="45" t="str">
        <f>IF(A233&gt;0,C232/'Output Report'!$H$70,"")</f>
        <v/>
      </c>
      <c r="E232" s="46" t="str">
        <f>IF(A233&gt;0,SUM($D$2:D232),"")</f>
        <v/>
      </c>
      <c r="F232" t="str">
        <f t="shared" si="10"/>
        <v/>
      </c>
      <c r="G232" t="str">
        <f t="shared" si="11"/>
        <v/>
      </c>
    </row>
    <row r="233" spans="1:7" x14ac:dyDescent="0.3">
      <c r="A233">
        <f>IF('Output Report'!$H$71+2&gt;ROW(A232),ROW(A232),0)</f>
        <v>0</v>
      </c>
      <c r="B233" t="str">
        <f>IF(AND(A233&gt;0,A233&lt;='Output Report'!$H$71+1),B232+MC_hist!$M$11/'Output Report'!$H$71,"")</f>
        <v/>
      </c>
      <c r="C233" t="str">
        <f t="shared" si="9"/>
        <v/>
      </c>
      <c r="D233" s="45" t="str">
        <f>IF(A234&gt;0,C233/'Output Report'!$H$70,"")</f>
        <v/>
      </c>
      <c r="E233" s="46" t="str">
        <f>IF(A234&gt;0,SUM($D$2:D233),"")</f>
        <v/>
      </c>
      <c r="F233" t="str">
        <f t="shared" si="10"/>
        <v/>
      </c>
      <c r="G233" t="str">
        <f t="shared" si="11"/>
        <v/>
      </c>
    </row>
    <row r="234" spans="1:7" x14ac:dyDescent="0.3">
      <c r="A234">
        <f>IF('Output Report'!$H$71+2&gt;ROW(A233),ROW(A233),0)</f>
        <v>0</v>
      </c>
      <c r="B234" t="str">
        <f>IF(AND(A234&gt;0,A234&lt;='Output Report'!$H$71+1),B233+MC_hist!$M$11/'Output Report'!$H$71,"")</f>
        <v/>
      </c>
      <c r="C234" t="str">
        <f t="shared" si="9"/>
        <v/>
      </c>
      <c r="D234" s="45" t="str">
        <f>IF(A235&gt;0,C234/'Output Report'!$H$70,"")</f>
        <v/>
      </c>
      <c r="E234" s="46" t="str">
        <f>IF(A235&gt;0,SUM($D$2:D234),"")</f>
        <v/>
      </c>
      <c r="F234" t="str">
        <f t="shared" si="10"/>
        <v/>
      </c>
      <c r="G234" t="str">
        <f t="shared" si="11"/>
        <v/>
      </c>
    </row>
    <row r="235" spans="1:7" x14ac:dyDescent="0.3">
      <c r="A235">
        <f>IF('Output Report'!$H$71+2&gt;ROW(A234),ROW(A234),0)</f>
        <v>0</v>
      </c>
      <c r="B235" t="str">
        <f>IF(AND(A235&gt;0,A235&lt;='Output Report'!$H$71+1),B234+MC_hist!$M$11/'Output Report'!$H$71,"")</f>
        <v/>
      </c>
      <c r="C235" t="str">
        <f t="shared" si="9"/>
        <v/>
      </c>
      <c r="D235" s="45" t="str">
        <f>IF(A236&gt;0,C235/'Output Report'!$H$70,"")</f>
        <v/>
      </c>
      <c r="E235" s="46" t="str">
        <f>IF(A236&gt;0,SUM($D$2:D235),"")</f>
        <v/>
      </c>
      <c r="F235" t="str">
        <f t="shared" si="10"/>
        <v/>
      </c>
      <c r="G235" t="str">
        <f t="shared" si="11"/>
        <v/>
      </c>
    </row>
    <row r="236" spans="1:7" x14ac:dyDescent="0.3">
      <c r="A236">
        <f>IF('Output Report'!$H$71+2&gt;ROW(A235),ROW(A235),0)</f>
        <v>0</v>
      </c>
      <c r="B236" t="str">
        <f>IF(AND(A236&gt;0,A236&lt;='Output Report'!$H$71+1),B235+MC_hist!$M$11/'Output Report'!$H$71,"")</f>
        <v/>
      </c>
      <c r="C236" t="str">
        <f t="shared" si="9"/>
        <v/>
      </c>
      <c r="D236" s="45" t="str">
        <f>IF(A237&gt;0,C236/'Output Report'!$H$70,"")</f>
        <v/>
      </c>
      <c r="E236" s="46" t="str">
        <f>IF(A237&gt;0,SUM($D$2:D236),"")</f>
        <v/>
      </c>
      <c r="F236" t="str">
        <f t="shared" si="10"/>
        <v/>
      </c>
      <c r="G236" t="str">
        <f t="shared" si="11"/>
        <v/>
      </c>
    </row>
    <row r="237" spans="1:7" x14ac:dyDescent="0.3">
      <c r="A237">
        <f>IF('Output Report'!$H$71+2&gt;ROW(A236),ROW(A236),0)</f>
        <v>0</v>
      </c>
      <c r="B237" t="str">
        <f>IF(AND(A237&gt;0,A237&lt;='Output Report'!$H$71+1),B236+MC_hist!$M$11/'Output Report'!$H$71,"")</f>
        <v/>
      </c>
      <c r="C237" t="str">
        <f t="shared" si="9"/>
        <v/>
      </c>
      <c r="D237" s="45" t="str">
        <f>IF(A238&gt;0,C237/'Output Report'!$H$70,"")</f>
        <v/>
      </c>
      <c r="E237" s="46" t="str">
        <f>IF(A238&gt;0,SUM($D$2:D237),"")</f>
        <v/>
      </c>
      <c r="F237" t="str">
        <f t="shared" si="10"/>
        <v/>
      </c>
      <c r="G237" t="str">
        <f t="shared" si="11"/>
        <v/>
      </c>
    </row>
    <row r="238" spans="1:7" x14ac:dyDescent="0.3">
      <c r="A238">
        <f>IF('Output Report'!$H$71+2&gt;ROW(A237),ROW(A237),0)</f>
        <v>0</v>
      </c>
      <c r="B238" t="str">
        <f>IF(AND(A238&gt;0,A238&lt;='Output Report'!$H$71+1),B237+MC_hist!$M$11/'Output Report'!$H$71,"")</f>
        <v/>
      </c>
      <c r="C238" t="str">
        <f t="shared" si="9"/>
        <v/>
      </c>
      <c r="D238" s="45" t="str">
        <f>IF(A239&gt;0,C238/'Output Report'!$H$70,"")</f>
        <v/>
      </c>
      <c r="E238" s="46" t="str">
        <f>IF(A239&gt;0,SUM($D$2:D238),"")</f>
        <v/>
      </c>
      <c r="F238" t="str">
        <f t="shared" si="10"/>
        <v/>
      </c>
      <c r="G238" t="str">
        <f t="shared" si="11"/>
        <v/>
      </c>
    </row>
    <row r="239" spans="1:7" x14ac:dyDescent="0.3">
      <c r="A239">
        <f>IF('Output Report'!$H$71+2&gt;ROW(A238),ROW(A238),0)</f>
        <v>0</v>
      </c>
      <c r="B239" t="str">
        <f>IF(AND(A239&gt;0,A239&lt;='Output Report'!$H$71+1),B238+MC_hist!$M$11/'Output Report'!$H$71,"")</f>
        <v/>
      </c>
      <c r="C239" t="str">
        <f t="shared" si="9"/>
        <v/>
      </c>
      <c r="D239" s="45" t="str">
        <f>IF(A240&gt;0,C239/'Output Report'!$H$70,"")</f>
        <v/>
      </c>
      <c r="E239" s="46" t="str">
        <f>IF(A240&gt;0,SUM($D$2:D239),"")</f>
        <v/>
      </c>
      <c r="F239" t="str">
        <f t="shared" si="10"/>
        <v/>
      </c>
      <c r="G239" t="str">
        <f t="shared" si="11"/>
        <v/>
      </c>
    </row>
    <row r="240" spans="1:7" x14ac:dyDescent="0.3">
      <c r="A240">
        <f>IF('Output Report'!$H$71+2&gt;ROW(A239),ROW(A239),0)</f>
        <v>0</v>
      </c>
      <c r="B240" t="str">
        <f>IF(AND(A240&gt;0,A240&lt;='Output Report'!$H$71+1),B239+MC_hist!$M$11/'Output Report'!$H$71,"")</f>
        <v/>
      </c>
      <c r="C240" t="str">
        <f t="shared" si="9"/>
        <v/>
      </c>
      <c r="D240" s="45" t="str">
        <f>IF(A241&gt;0,C240/'Output Report'!$H$70,"")</f>
        <v/>
      </c>
      <c r="E240" s="46" t="str">
        <f>IF(A241&gt;0,SUM($D$2:D240),"")</f>
        <v/>
      </c>
      <c r="F240" t="str">
        <f t="shared" si="10"/>
        <v/>
      </c>
      <c r="G240" t="str">
        <f t="shared" si="11"/>
        <v/>
      </c>
    </row>
    <row r="241" spans="1:7" x14ac:dyDescent="0.3">
      <c r="A241">
        <f>IF('Output Report'!$H$71+2&gt;ROW(A240),ROW(A240),0)</f>
        <v>0</v>
      </c>
      <c r="B241" t="str">
        <f>IF(AND(A241&gt;0,A241&lt;='Output Report'!$H$71+1),B240+MC_hist!$M$11/'Output Report'!$H$71,"")</f>
        <v/>
      </c>
      <c r="C241" t="str">
        <f t="shared" si="9"/>
        <v/>
      </c>
      <c r="D241" s="45" t="str">
        <f>IF(A242&gt;0,C241/'Output Report'!$H$70,"")</f>
        <v/>
      </c>
      <c r="E241" s="46" t="str">
        <f>IF(A242&gt;0,SUM($D$2:D241),"")</f>
        <v/>
      </c>
      <c r="F241" t="str">
        <f t="shared" si="10"/>
        <v/>
      </c>
      <c r="G241" t="str">
        <f t="shared" si="11"/>
        <v/>
      </c>
    </row>
    <row r="242" spans="1:7" x14ac:dyDescent="0.3">
      <c r="A242">
        <f>IF('Output Report'!$H$71+2&gt;ROW(A241),ROW(A241),0)</f>
        <v>0</v>
      </c>
      <c r="B242" t="str">
        <f>IF(AND(A242&gt;0,A242&lt;='Output Report'!$H$71+1),B241+MC_hist!$M$11/'Output Report'!$H$71,"")</f>
        <v/>
      </c>
      <c r="C242" t="str">
        <f t="shared" si="9"/>
        <v/>
      </c>
      <c r="D242" s="45" t="str">
        <f>IF(A243&gt;0,C242/'Output Report'!$H$70,"")</f>
        <v/>
      </c>
      <c r="E242" s="46" t="str">
        <f>IF(A243&gt;0,SUM($D$2:D242),"")</f>
        <v/>
      </c>
      <c r="F242" t="str">
        <f t="shared" si="10"/>
        <v/>
      </c>
      <c r="G242" t="str">
        <f t="shared" si="11"/>
        <v/>
      </c>
    </row>
    <row r="243" spans="1:7" x14ac:dyDescent="0.3">
      <c r="A243">
        <f>IF('Output Report'!$H$71+2&gt;ROW(A242),ROW(A242),0)</f>
        <v>0</v>
      </c>
      <c r="B243" t="str">
        <f>IF(AND(A243&gt;0,A243&lt;='Output Report'!$H$71+1),B242+MC_hist!$M$11/'Output Report'!$H$71,"")</f>
        <v/>
      </c>
      <c r="C243" t="str">
        <f t="shared" si="9"/>
        <v/>
      </c>
      <c r="D243" s="45" t="str">
        <f>IF(A244&gt;0,C243/'Output Report'!$H$70,"")</f>
        <v/>
      </c>
      <c r="E243" s="46" t="str">
        <f>IF(A244&gt;0,SUM($D$2:D243),"")</f>
        <v/>
      </c>
      <c r="F243" t="str">
        <f t="shared" si="10"/>
        <v/>
      </c>
      <c r="G243" t="str">
        <f t="shared" si="11"/>
        <v/>
      </c>
    </row>
    <row r="244" spans="1:7" x14ac:dyDescent="0.3">
      <c r="A244">
        <f>IF('Output Report'!$H$71+2&gt;ROW(A243),ROW(A243),0)</f>
        <v>0</v>
      </c>
      <c r="B244" t="str">
        <f>IF(AND(A244&gt;0,A244&lt;='Output Report'!$H$71+1),B243+MC_hist!$M$11/'Output Report'!$H$71,"")</f>
        <v/>
      </c>
      <c r="C244" t="str">
        <f t="shared" si="9"/>
        <v/>
      </c>
      <c r="D244" s="45" t="str">
        <f>IF(A245&gt;0,C244/'Output Report'!$H$70,"")</f>
        <v/>
      </c>
      <c r="E244" s="46" t="str">
        <f>IF(A245&gt;0,SUM($D$2:D244),"")</f>
        <v/>
      </c>
      <c r="F244" t="str">
        <f t="shared" si="10"/>
        <v/>
      </c>
      <c r="G244" t="str">
        <f t="shared" si="11"/>
        <v/>
      </c>
    </row>
    <row r="245" spans="1:7" x14ac:dyDescent="0.3">
      <c r="A245">
        <f>IF('Output Report'!$H$71+2&gt;ROW(A244),ROW(A244),0)</f>
        <v>0</v>
      </c>
      <c r="B245" t="str">
        <f>IF(AND(A245&gt;0,A245&lt;='Output Report'!$H$71+1),B244+MC_hist!$M$11/'Output Report'!$H$71,"")</f>
        <v/>
      </c>
      <c r="C245" t="str">
        <f t="shared" si="9"/>
        <v/>
      </c>
      <c r="D245" s="45" t="str">
        <f>IF(A246&gt;0,C245/'Output Report'!$H$70,"")</f>
        <v/>
      </c>
      <c r="E245" s="46" t="str">
        <f>IF(A246&gt;0,SUM($D$2:D245),"")</f>
        <v/>
      </c>
      <c r="F245" t="str">
        <f t="shared" si="10"/>
        <v/>
      </c>
      <c r="G245" t="str">
        <f t="shared" si="11"/>
        <v/>
      </c>
    </row>
    <row r="246" spans="1:7" x14ac:dyDescent="0.3">
      <c r="A246">
        <f>IF('Output Report'!$H$71+2&gt;ROW(A245),ROW(A245),0)</f>
        <v>0</v>
      </c>
      <c r="B246" t="str">
        <f>IF(AND(A246&gt;0,A246&lt;='Output Report'!$H$71+1),B245+MC_hist!$M$11/'Output Report'!$H$71,"")</f>
        <v/>
      </c>
      <c r="C246" t="str">
        <f t="shared" si="9"/>
        <v/>
      </c>
      <c r="D246" s="45" t="str">
        <f>IF(A247&gt;0,C246/'Output Report'!$H$70,"")</f>
        <v/>
      </c>
      <c r="E246" s="46" t="str">
        <f>IF(A247&gt;0,SUM($D$2:D246),"")</f>
        <v/>
      </c>
      <c r="F246" t="str">
        <f t="shared" si="10"/>
        <v/>
      </c>
      <c r="G246" t="str">
        <f t="shared" si="11"/>
        <v/>
      </c>
    </row>
    <row r="247" spans="1:7" x14ac:dyDescent="0.3">
      <c r="A247">
        <f>IF('Output Report'!$H$71+2&gt;ROW(A246),ROW(A246),0)</f>
        <v>0</v>
      </c>
      <c r="B247" t="str">
        <f>IF(AND(A247&gt;0,A247&lt;='Output Report'!$H$71+1),B246+MC_hist!$M$11/'Output Report'!$H$71,"")</f>
        <v/>
      </c>
      <c r="C247" t="str">
        <f t="shared" si="9"/>
        <v/>
      </c>
      <c r="D247" s="45" t="str">
        <f>IF(A248&gt;0,C247/'Output Report'!$H$70,"")</f>
        <v/>
      </c>
      <c r="E247" s="46" t="str">
        <f>IF(A248&gt;0,SUM($D$2:D247),"")</f>
        <v/>
      </c>
      <c r="F247" t="str">
        <f t="shared" si="10"/>
        <v/>
      </c>
      <c r="G247" t="str">
        <f t="shared" si="11"/>
        <v/>
      </c>
    </row>
    <row r="248" spans="1:7" x14ac:dyDescent="0.3">
      <c r="A248">
        <f>IF('Output Report'!$H$71+2&gt;ROW(A247),ROW(A247),0)</f>
        <v>0</v>
      </c>
      <c r="B248" t="str">
        <f>IF(AND(A248&gt;0,A248&lt;='Output Report'!$H$71+1),B247+MC_hist!$M$11/'Output Report'!$H$71,"")</f>
        <v/>
      </c>
      <c r="C248" t="str">
        <f t="shared" si="9"/>
        <v/>
      </c>
      <c r="D248" s="45" t="str">
        <f>IF(A249&gt;0,C248/'Output Report'!$H$70,"")</f>
        <v/>
      </c>
      <c r="E248" s="46" t="str">
        <f>IF(A249&gt;0,SUM($D$2:D248),"")</f>
        <v/>
      </c>
      <c r="F248" t="str">
        <f t="shared" si="10"/>
        <v/>
      </c>
      <c r="G248" t="str">
        <f t="shared" si="11"/>
        <v/>
      </c>
    </row>
    <row r="249" spans="1:7" x14ac:dyDescent="0.3">
      <c r="A249">
        <f>IF('Output Report'!$H$71+2&gt;ROW(A248),ROW(A248),0)</f>
        <v>0</v>
      </c>
      <c r="B249" t="str">
        <f>IF(AND(A249&gt;0,A249&lt;='Output Report'!$H$71+1),B248+MC_hist!$M$11/'Output Report'!$H$71,"")</f>
        <v/>
      </c>
      <c r="C249" t="str">
        <f t="shared" si="9"/>
        <v/>
      </c>
      <c r="D249" s="45" t="str">
        <f>IF(A250&gt;0,C249/'Output Report'!$H$70,"")</f>
        <v/>
      </c>
      <c r="E249" s="46" t="str">
        <f>IF(A250&gt;0,SUM($D$2:D249),"")</f>
        <v/>
      </c>
      <c r="F249" t="str">
        <f t="shared" si="10"/>
        <v/>
      </c>
      <c r="G249" t="str">
        <f t="shared" si="11"/>
        <v/>
      </c>
    </row>
    <row r="250" spans="1:7" x14ac:dyDescent="0.3">
      <c r="A250">
        <f>IF('Output Report'!$H$71+2&gt;ROW(A249),ROW(A249),0)</f>
        <v>0</v>
      </c>
      <c r="B250" t="str">
        <f>IF(AND(A250&gt;0,A250&lt;='Output Report'!$H$71+1),B249+MC_hist!$M$11/'Output Report'!$H$71,"")</f>
        <v/>
      </c>
      <c r="C250" t="str">
        <f t="shared" si="9"/>
        <v/>
      </c>
      <c r="D250" s="45" t="str">
        <f>IF(A251&gt;0,C250/'Output Report'!$H$70,"")</f>
        <v/>
      </c>
      <c r="E250" s="46" t="str">
        <f>IF(A251&gt;0,SUM($D$2:D250),"")</f>
        <v/>
      </c>
      <c r="F250" t="str">
        <f t="shared" si="10"/>
        <v/>
      </c>
      <c r="G250" t="str">
        <f t="shared" si="11"/>
        <v/>
      </c>
    </row>
    <row r="251" spans="1:7" x14ac:dyDescent="0.3">
      <c r="A251">
        <f>IF('Output Report'!$H$71+2&gt;ROW(A250),ROW(A250),0)</f>
        <v>0</v>
      </c>
      <c r="B251" t="str">
        <f>IF(AND(A251&gt;0,A251&lt;='Output Report'!$H$71+1),B250+MC_hist!$M$11/'Output Report'!$H$71,"")</f>
        <v/>
      </c>
      <c r="C251" t="str">
        <f t="shared" si="9"/>
        <v/>
      </c>
      <c r="D251" s="45" t="str">
        <f>IF(A252&gt;0,C251/'Output Report'!$H$70,"")</f>
        <v/>
      </c>
      <c r="E251" s="46" t="str">
        <f>IF(A252&gt;0,SUM($D$2:D251),"")</f>
        <v/>
      </c>
      <c r="F251" t="str">
        <f t="shared" si="10"/>
        <v/>
      </c>
      <c r="G251" t="str">
        <f t="shared" si="11"/>
        <v/>
      </c>
    </row>
    <row r="252" spans="1:7" x14ac:dyDescent="0.3">
      <c r="A252">
        <f>IF('Output Report'!$H$71+2&gt;ROW(A251),ROW(A251),0)</f>
        <v>0</v>
      </c>
      <c r="B252" t="str">
        <f>IF(AND(A252&gt;0,A252&lt;='Output Report'!$H$71+1),B251+MC_hist!$M$11/'Output Report'!$H$71,"")</f>
        <v/>
      </c>
      <c r="C252" t="str">
        <f t="shared" si="9"/>
        <v/>
      </c>
      <c r="D252" s="45" t="str">
        <f>IF(A253&gt;0,C252/'Output Report'!$H$70,"")</f>
        <v/>
      </c>
      <c r="E252" s="46" t="str">
        <f>IF(A253&gt;0,SUM($D$2:D252),"")</f>
        <v/>
      </c>
      <c r="F252" t="str">
        <f t="shared" si="10"/>
        <v/>
      </c>
      <c r="G252" t="str">
        <f t="shared" si="11"/>
        <v/>
      </c>
    </row>
    <row r="253" spans="1:7" x14ac:dyDescent="0.3">
      <c r="A253">
        <f>IF('Output Report'!$H$71+2&gt;ROW(A252),ROW(A252),0)</f>
        <v>0</v>
      </c>
      <c r="B253" t="str">
        <f>IF(AND(A253&gt;0,A253&lt;='Output Report'!$H$71+1),B252+MC_hist!$M$11/'Output Report'!$H$71,"")</f>
        <v/>
      </c>
      <c r="C253" t="str">
        <f t="shared" si="9"/>
        <v/>
      </c>
      <c r="D253" s="45" t="str">
        <f>IF(A254&gt;0,C253/'Output Report'!$H$70,"")</f>
        <v/>
      </c>
      <c r="E253" s="46" t="str">
        <f>IF(A254&gt;0,SUM($D$2:D253),"")</f>
        <v/>
      </c>
      <c r="F253" t="str">
        <f t="shared" si="10"/>
        <v/>
      </c>
      <c r="G253" t="str">
        <f t="shared" si="11"/>
        <v/>
      </c>
    </row>
    <row r="254" spans="1:7" x14ac:dyDescent="0.3">
      <c r="A254">
        <f>IF('Output Report'!$H$71+2&gt;ROW(A253),ROW(A253),0)</f>
        <v>0</v>
      </c>
      <c r="B254" t="str">
        <f>IF(AND(A254&gt;0,A254&lt;='Output Report'!$H$71+1),B253+MC_hist!$M$11/'Output Report'!$H$71,"")</f>
        <v/>
      </c>
      <c r="C254" t="str">
        <f t="shared" si="9"/>
        <v/>
      </c>
      <c r="D254" s="45" t="str">
        <f>IF(A255&gt;0,C254/'Output Report'!$H$70,"")</f>
        <v/>
      </c>
      <c r="E254" s="46" t="str">
        <f>IF(A255&gt;0,SUM($D$2:D254),"")</f>
        <v/>
      </c>
      <c r="F254" t="str">
        <f t="shared" si="10"/>
        <v/>
      </c>
      <c r="G254" t="str">
        <f t="shared" si="11"/>
        <v/>
      </c>
    </row>
    <row r="255" spans="1:7" x14ac:dyDescent="0.3">
      <c r="A255">
        <f>IF('Output Report'!$H$71+2&gt;ROW(A254),ROW(A254),0)</f>
        <v>0</v>
      </c>
      <c r="B255" t="str">
        <f>IF(AND(A255&gt;0,A255&lt;='Output Report'!$H$71+1),B254+MC_hist!$M$11/'Output Report'!$H$71,"")</f>
        <v/>
      </c>
      <c r="C255" t="str">
        <f t="shared" si="9"/>
        <v/>
      </c>
      <c r="D255" s="45" t="str">
        <f>IF(A256&gt;0,C255/'Output Report'!$H$70,"")</f>
        <v/>
      </c>
      <c r="E255" s="46" t="str">
        <f>IF(A256&gt;0,SUM($D$2:D255),"")</f>
        <v/>
      </c>
      <c r="F255" t="str">
        <f t="shared" si="10"/>
        <v/>
      </c>
      <c r="G255" t="str">
        <f t="shared" si="11"/>
        <v/>
      </c>
    </row>
    <row r="256" spans="1:7" x14ac:dyDescent="0.3">
      <c r="A256">
        <f>IF('Output Report'!$H$71+2&gt;ROW(A255),ROW(A255),0)</f>
        <v>0</v>
      </c>
      <c r="B256" t="str">
        <f>IF(AND(A256&gt;0,A256&lt;='Output Report'!$H$71+1),B255+MC_hist!$M$11/'Output Report'!$H$71,"")</f>
        <v/>
      </c>
      <c r="C256" t="str">
        <f t="shared" si="9"/>
        <v/>
      </c>
      <c r="D256" s="45" t="str">
        <f>IF(A257&gt;0,C256/'Output Report'!$H$70,"")</f>
        <v/>
      </c>
      <c r="E256" s="46" t="str">
        <f>IF(A257&gt;0,SUM($D$2:D256),"")</f>
        <v/>
      </c>
      <c r="F256" t="str">
        <f t="shared" si="10"/>
        <v/>
      </c>
      <c r="G256" t="str">
        <f t="shared" si="11"/>
        <v/>
      </c>
    </row>
    <row r="257" spans="1:7" x14ac:dyDescent="0.3">
      <c r="A257">
        <f>IF('Output Report'!$H$71+2&gt;ROW(A256),ROW(A256),0)</f>
        <v>0</v>
      </c>
      <c r="B257" t="str">
        <f>IF(AND(A257&gt;0,A257&lt;='Output Report'!$H$71+1),B256+MC_hist!$M$11/'Output Report'!$H$71,"")</f>
        <v/>
      </c>
      <c r="C257" t="str">
        <f t="shared" si="9"/>
        <v/>
      </c>
      <c r="D257" s="45" t="str">
        <f>IF(A258&gt;0,C257/'Output Report'!$H$70,"")</f>
        <v/>
      </c>
      <c r="E257" s="46" t="str">
        <f>IF(A258&gt;0,SUM($D$2:D257),"")</f>
        <v/>
      </c>
      <c r="F257" t="str">
        <f t="shared" si="10"/>
        <v/>
      </c>
      <c r="G257" t="str">
        <f t="shared" si="11"/>
        <v/>
      </c>
    </row>
    <row r="258" spans="1:7" x14ac:dyDescent="0.3">
      <c r="A258">
        <f>IF('Output Report'!$H$71+2&gt;ROW(A257),ROW(A257),0)</f>
        <v>0</v>
      </c>
      <c r="B258" t="str">
        <f>IF(AND(A258&gt;0,A258&lt;='Output Report'!$H$71+1),B257+MC_hist!$M$11/'Output Report'!$H$71,"")</f>
        <v/>
      </c>
      <c r="C258" t="str">
        <f t="shared" ref="C258:C301" si="12">IF(A259&gt;0,COUNTIFS(data_sim,"&gt;"&amp;B258,data_sim,"&lt;="&amp;B259),"")</f>
        <v/>
      </c>
      <c r="D258" s="45" t="str">
        <f>IF(A259&gt;0,C258/'Output Report'!$H$70,"")</f>
        <v/>
      </c>
      <c r="E258" s="46" t="str">
        <f>IF(A259&gt;0,SUM($D$2:D258),"")</f>
        <v/>
      </c>
      <c r="F258" t="str">
        <f t="shared" si="10"/>
        <v/>
      </c>
      <c r="G258" t="str">
        <f t="shared" si="11"/>
        <v/>
      </c>
    </row>
    <row r="259" spans="1:7" x14ac:dyDescent="0.3">
      <c r="A259">
        <f>IF('Output Report'!$H$71+2&gt;ROW(A258),ROW(A258),0)</f>
        <v>0</v>
      </c>
      <c r="B259" t="str">
        <f>IF(AND(A259&gt;0,A259&lt;='Output Report'!$H$71+1),B258+MC_hist!$M$11/'Output Report'!$H$71,"")</f>
        <v/>
      </c>
      <c r="C259" t="str">
        <f t="shared" si="12"/>
        <v/>
      </c>
      <c r="D259" s="45" t="str">
        <f>IF(A260&gt;0,C259/'Output Report'!$H$70,"")</f>
        <v/>
      </c>
      <c r="E259" s="46" t="str">
        <f>IF(A260&gt;0,SUM($D$2:D259),"")</f>
        <v/>
      </c>
      <c r="F259" t="str">
        <f t="shared" ref="F259:F301" si="13">IF(B259&lt;=0,D259,"")</f>
        <v/>
      </c>
      <c r="G259" t="str">
        <f t="shared" ref="G259:G322" si="14">IF(B259&lt;=0,E259,"")</f>
        <v/>
      </c>
    </row>
    <row r="260" spans="1:7" x14ac:dyDescent="0.3">
      <c r="A260">
        <f>IF('Output Report'!$H$71+2&gt;ROW(A259),ROW(A259),0)</f>
        <v>0</v>
      </c>
      <c r="B260" t="str">
        <f>IF(AND(A260&gt;0,A260&lt;='Output Report'!$H$71+1),B259+MC_hist!$M$11/'Output Report'!$H$71,"")</f>
        <v/>
      </c>
      <c r="C260" t="str">
        <f t="shared" si="12"/>
        <v/>
      </c>
      <c r="D260" s="45" t="str">
        <f>IF(A261&gt;0,C260/'Output Report'!$H$70,"")</f>
        <v/>
      </c>
      <c r="E260" s="46" t="str">
        <f>IF(A261&gt;0,SUM($D$2:D260),"")</f>
        <v/>
      </c>
      <c r="F260" t="str">
        <f t="shared" si="13"/>
        <v/>
      </c>
      <c r="G260" t="str">
        <f t="shared" si="14"/>
        <v/>
      </c>
    </row>
    <row r="261" spans="1:7" x14ac:dyDescent="0.3">
      <c r="A261">
        <f>IF('Output Report'!$H$71+2&gt;ROW(A260),ROW(A260),0)</f>
        <v>0</v>
      </c>
      <c r="B261" t="str">
        <f>IF(AND(A261&gt;0,A261&lt;='Output Report'!$H$71+1),B260+MC_hist!$M$11/'Output Report'!$H$71,"")</f>
        <v/>
      </c>
      <c r="C261" t="str">
        <f t="shared" si="12"/>
        <v/>
      </c>
      <c r="D261" s="45" t="str">
        <f>IF(A262&gt;0,C261/'Output Report'!$H$70,"")</f>
        <v/>
      </c>
      <c r="E261" s="46" t="str">
        <f>IF(A262&gt;0,SUM($D$2:D261),"")</f>
        <v/>
      </c>
      <c r="F261" t="str">
        <f t="shared" si="13"/>
        <v/>
      </c>
      <c r="G261" t="str">
        <f t="shared" si="14"/>
        <v/>
      </c>
    </row>
    <row r="262" spans="1:7" x14ac:dyDescent="0.3">
      <c r="A262">
        <f>IF('Output Report'!$H$71+2&gt;ROW(A261),ROW(A261),0)</f>
        <v>0</v>
      </c>
      <c r="B262" t="str">
        <f>IF(AND(A262&gt;0,A262&lt;='Output Report'!$H$71+1),B261+MC_hist!$M$11/'Output Report'!$H$71,"")</f>
        <v/>
      </c>
      <c r="C262" t="str">
        <f t="shared" si="12"/>
        <v/>
      </c>
      <c r="D262" s="45" t="str">
        <f>IF(A263&gt;0,C262/'Output Report'!$H$70,"")</f>
        <v/>
      </c>
      <c r="E262" s="46" t="str">
        <f>IF(A263&gt;0,SUM($D$2:D262),"")</f>
        <v/>
      </c>
      <c r="F262" t="str">
        <f t="shared" si="13"/>
        <v/>
      </c>
      <c r="G262" t="str">
        <f t="shared" si="14"/>
        <v/>
      </c>
    </row>
    <row r="263" spans="1:7" x14ac:dyDescent="0.3">
      <c r="A263">
        <f>IF('Output Report'!$H$71+2&gt;ROW(A262),ROW(A262),0)</f>
        <v>0</v>
      </c>
      <c r="B263" t="str">
        <f>IF(AND(A263&gt;0,A263&lt;='Output Report'!$H$71+1),B262+MC_hist!$M$11/'Output Report'!$H$71,"")</f>
        <v/>
      </c>
      <c r="C263" t="str">
        <f t="shared" si="12"/>
        <v/>
      </c>
      <c r="D263" s="45" t="str">
        <f>IF(A264&gt;0,C263/'Output Report'!$H$70,"")</f>
        <v/>
      </c>
      <c r="E263" s="46" t="str">
        <f>IF(A264&gt;0,SUM($D$2:D263),"")</f>
        <v/>
      </c>
      <c r="F263" t="str">
        <f t="shared" si="13"/>
        <v/>
      </c>
      <c r="G263" t="str">
        <f t="shared" si="14"/>
        <v/>
      </c>
    </row>
    <row r="264" spans="1:7" x14ac:dyDescent="0.3">
      <c r="A264">
        <f>IF('Output Report'!$H$71+2&gt;ROW(A263),ROW(A263),0)</f>
        <v>0</v>
      </c>
      <c r="B264" t="str">
        <f>IF(AND(A264&gt;0,A264&lt;='Output Report'!$H$71+1),B263+MC_hist!$M$11/'Output Report'!$H$71,"")</f>
        <v/>
      </c>
      <c r="C264" t="str">
        <f t="shared" si="12"/>
        <v/>
      </c>
      <c r="D264" s="45" t="str">
        <f>IF(A265&gt;0,C264/'Output Report'!$H$70,"")</f>
        <v/>
      </c>
      <c r="E264" s="46" t="str">
        <f>IF(A265&gt;0,SUM($D$2:D264),"")</f>
        <v/>
      </c>
      <c r="F264" t="str">
        <f t="shared" si="13"/>
        <v/>
      </c>
      <c r="G264" t="str">
        <f t="shared" si="14"/>
        <v/>
      </c>
    </row>
    <row r="265" spans="1:7" x14ac:dyDescent="0.3">
      <c r="A265">
        <f>IF('Output Report'!$H$71+2&gt;ROW(A264),ROW(A264),0)</f>
        <v>0</v>
      </c>
      <c r="B265" t="str">
        <f>IF(AND(A265&gt;0,A265&lt;='Output Report'!$H$71+1),B264+MC_hist!$M$11/'Output Report'!$H$71,"")</f>
        <v/>
      </c>
      <c r="C265" t="str">
        <f t="shared" si="12"/>
        <v/>
      </c>
      <c r="D265" s="45" t="str">
        <f>IF(A266&gt;0,C265/'Output Report'!$H$70,"")</f>
        <v/>
      </c>
      <c r="E265" s="46" t="str">
        <f>IF(A266&gt;0,SUM($D$2:D265),"")</f>
        <v/>
      </c>
      <c r="F265" t="str">
        <f t="shared" si="13"/>
        <v/>
      </c>
      <c r="G265" t="str">
        <f t="shared" si="14"/>
        <v/>
      </c>
    </row>
    <row r="266" spans="1:7" x14ac:dyDescent="0.3">
      <c r="A266">
        <f>IF('Output Report'!$H$71+2&gt;ROW(A265),ROW(A265),0)</f>
        <v>0</v>
      </c>
      <c r="B266" t="str">
        <f>IF(AND(A266&gt;0,A266&lt;='Output Report'!$H$71+1),B265+MC_hist!$M$11/'Output Report'!$H$71,"")</f>
        <v/>
      </c>
      <c r="C266" t="str">
        <f t="shared" si="12"/>
        <v/>
      </c>
      <c r="D266" s="45" t="str">
        <f>IF(A267&gt;0,C266/'Output Report'!$H$70,"")</f>
        <v/>
      </c>
      <c r="E266" s="46" t="str">
        <f>IF(A267&gt;0,SUM($D$2:D266),"")</f>
        <v/>
      </c>
      <c r="F266" t="str">
        <f t="shared" si="13"/>
        <v/>
      </c>
      <c r="G266" t="str">
        <f t="shared" si="14"/>
        <v/>
      </c>
    </row>
    <row r="267" spans="1:7" x14ac:dyDescent="0.3">
      <c r="A267">
        <f>IF('Output Report'!$H$71+2&gt;ROW(A266),ROW(A266),0)</f>
        <v>0</v>
      </c>
      <c r="B267" t="str">
        <f>IF(AND(A267&gt;0,A267&lt;='Output Report'!$H$71+1),B266+MC_hist!$M$11/'Output Report'!$H$71,"")</f>
        <v/>
      </c>
      <c r="C267" t="str">
        <f t="shared" si="12"/>
        <v/>
      </c>
      <c r="D267" s="45" t="str">
        <f>IF(A268&gt;0,C267/'Output Report'!$H$70,"")</f>
        <v/>
      </c>
      <c r="E267" s="46" t="str">
        <f>IF(A268&gt;0,SUM($D$2:D267),"")</f>
        <v/>
      </c>
      <c r="F267" t="str">
        <f t="shared" si="13"/>
        <v/>
      </c>
      <c r="G267" t="str">
        <f t="shared" si="14"/>
        <v/>
      </c>
    </row>
    <row r="268" spans="1:7" x14ac:dyDescent="0.3">
      <c r="A268">
        <f>IF('Output Report'!$H$71+2&gt;ROW(A267),ROW(A267),0)</f>
        <v>0</v>
      </c>
      <c r="B268" t="str">
        <f>IF(AND(A268&gt;0,A268&lt;='Output Report'!$H$71+1),B267+MC_hist!$M$11/'Output Report'!$H$71,"")</f>
        <v/>
      </c>
      <c r="C268" t="str">
        <f t="shared" si="12"/>
        <v/>
      </c>
      <c r="D268" s="45" t="str">
        <f>IF(A269&gt;0,C268/'Output Report'!$H$70,"")</f>
        <v/>
      </c>
      <c r="E268" s="46" t="str">
        <f>IF(A269&gt;0,SUM($D$2:D268),"")</f>
        <v/>
      </c>
      <c r="F268" t="str">
        <f t="shared" si="13"/>
        <v/>
      </c>
      <c r="G268" t="str">
        <f t="shared" si="14"/>
        <v/>
      </c>
    </row>
    <row r="269" spans="1:7" x14ac:dyDescent="0.3">
      <c r="A269">
        <f>IF('Output Report'!$H$71+2&gt;ROW(A268),ROW(A268),0)</f>
        <v>0</v>
      </c>
      <c r="B269" t="str">
        <f>IF(AND(A269&gt;0,A269&lt;='Output Report'!$H$71+1),B268+MC_hist!$M$11/'Output Report'!$H$71,"")</f>
        <v/>
      </c>
      <c r="C269" t="str">
        <f t="shared" si="12"/>
        <v/>
      </c>
      <c r="D269" s="45" t="str">
        <f>IF(A270&gt;0,C269/'Output Report'!$H$70,"")</f>
        <v/>
      </c>
      <c r="E269" s="46" t="str">
        <f>IF(A270&gt;0,SUM($D$2:D269),"")</f>
        <v/>
      </c>
      <c r="F269" t="str">
        <f t="shared" si="13"/>
        <v/>
      </c>
      <c r="G269" t="str">
        <f t="shared" si="14"/>
        <v/>
      </c>
    </row>
    <row r="270" spans="1:7" x14ac:dyDescent="0.3">
      <c r="A270">
        <f>IF('Output Report'!$H$71+2&gt;ROW(A269),ROW(A269),0)</f>
        <v>0</v>
      </c>
      <c r="B270" t="str">
        <f>IF(AND(A270&gt;0,A270&lt;='Output Report'!$H$71+1),B269+MC_hist!$M$11/'Output Report'!$H$71,"")</f>
        <v/>
      </c>
      <c r="C270" t="str">
        <f t="shared" si="12"/>
        <v/>
      </c>
      <c r="D270" s="45" t="str">
        <f>IF(A271&gt;0,C270/'Output Report'!$H$70,"")</f>
        <v/>
      </c>
      <c r="E270" s="46" t="str">
        <f>IF(A271&gt;0,SUM($D$2:D270),"")</f>
        <v/>
      </c>
      <c r="F270" t="str">
        <f t="shared" si="13"/>
        <v/>
      </c>
      <c r="G270" t="str">
        <f t="shared" si="14"/>
        <v/>
      </c>
    </row>
    <row r="271" spans="1:7" x14ac:dyDescent="0.3">
      <c r="A271">
        <f>IF('Output Report'!$H$71+2&gt;ROW(A270),ROW(A270),0)</f>
        <v>0</v>
      </c>
      <c r="B271" t="str">
        <f>IF(AND(A271&gt;0,A271&lt;='Output Report'!$H$71+1),B270+MC_hist!$M$11/'Output Report'!$H$71,"")</f>
        <v/>
      </c>
      <c r="C271" t="str">
        <f t="shared" si="12"/>
        <v/>
      </c>
      <c r="D271" s="45" t="str">
        <f>IF(A272&gt;0,C271/'Output Report'!$H$70,"")</f>
        <v/>
      </c>
      <c r="E271" s="46" t="str">
        <f>IF(A272&gt;0,SUM($D$2:D271),"")</f>
        <v/>
      </c>
      <c r="F271" t="str">
        <f t="shared" si="13"/>
        <v/>
      </c>
      <c r="G271" t="str">
        <f t="shared" si="14"/>
        <v/>
      </c>
    </row>
    <row r="272" spans="1:7" x14ac:dyDescent="0.3">
      <c r="A272">
        <f>IF('Output Report'!$H$71+2&gt;ROW(A271),ROW(A271),0)</f>
        <v>0</v>
      </c>
      <c r="B272" t="str">
        <f>IF(AND(A272&gt;0,A272&lt;='Output Report'!$H$71+1),B271+MC_hist!$M$11/'Output Report'!$H$71,"")</f>
        <v/>
      </c>
      <c r="C272" t="str">
        <f t="shared" si="12"/>
        <v/>
      </c>
      <c r="D272" s="45" t="str">
        <f>IF(A273&gt;0,C272/'Output Report'!$H$70,"")</f>
        <v/>
      </c>
      <c r="E272" s="46" t="str">
        <f>IF(A273&gt;0,SUM($D$2:D272),"")</f>
        <v/>
      </c>
      <c r="F272" t="str">
        <f t="shared" si="13"/>
        <v/>
      </c>
      <c r="G272" t="str">
        <f t="shared" si="14"/>
        <v/>
      </c>
    </row>
    <row r="273" spans="1:7" x14ac:dyDescent="0.3">
      <c r="A273">
        <f>IF('Output Report'!$H$71+2&gt;ROW(A272),ROW(A272),0)</f>
        <v>0</v>
      </c>
      <c r="B273" t="str">
        <f>IF(AND(A273&gt;0,A273&lt;='Output Report'!$H$71+1),B272+MC_hist!$M$11/'Output Report'!$H$71,"")</f>
        <v/>
      </c>
      <c r="C273" t="str">
        <f t="shared" si="12"/>
        <v/>
      </c>
      <c r="D273" s="45" t="str">
        <f>IF(A274&gt;0,C273/'Output Report'!$H$70,"")</f>
        <v/>
      </c>
      <c r="E273" s="46" t="str">
        <f>IF(A274&gt;0,SUM($D$2:D273),"")</f>
        <v/>
      </c>
      <c r="F273" t="str">
        <f t="shared" si="13"/>
        <v/>
      </c>
      <c r="G273" t="str">
        <f t="shared" si="14"/>
        <v/>
      </c>
    </row>
    <row r="274" spans="1:7" x14ac:dyDescent="0.3">
      <c r="A274">
        <f>IF('Output Report'!$H$71+2&gt;ROW(A273),ROW(A273),0)</f>
        <v>0</v>
      </c>
      <c r="B274" t="str">
        <f>IF(AND(A274&gt;0,A274&lt;='Output Report'!$H$71+1),B273+MC_hist!$M$11/'Output Report'!$H$71,"")</f>
        <v/>
      </c>
      <c r="C274" t="str">
        <f t="shared" si="12"/>
        <v/>
      </c>
      <c r="D274" s="45" t="str">
        <f>IF(A275&gt;0,C274/'Output Report'!$H$70,"")</f>
        <v/>
      </c>
      <c r="E274" s="46" t="str">
        <f>IF(A275&gt;0,SUM($D$2:D274),"")</f>
        <v/>
      </c>
      <c r="F274" t="str">
        <f t="shared" si="13"/>
        <v/>
      </c>
      <c r="G274" t="str">
        <f t="shared" si="14"/>
        <v/>
      </c>
    </row>
    <row r="275" spans="1:7" x14ac:dyDescent="0.3">
      <c r="A275">
        <f>IF('Output Report'!$H$71+2&gt;ROW(A274),ROW(A274),0)</f>
        <v>0</v>
      </c>
      <c r="B275" t="str">
        <f>IF(AND(A275&gt;0,A275&lt;='Output Report'!$H$71+1),B274+MC_hist!$M$11/'Output Report'!$H$71,"")</f>
        <v/>
      </c>
      <c r="C275" t="str">
        <f t="shared" si="12"/>
        <v/>
      </c>
      <c r="D275" s="45" t="str">
        <f>IF(A276&gt;0,C275/'Output Report'!$H$70,"")</f>
        <v/>
      </c>
      <c r="E275" s="46" t="str">
        <f>IF(A276&gt;0,SUM($D$2:D275),"")</f>
        <v/>
      </c>
      <c r="F275" t="str">
        <f t="shared" si="13"/>
        <v/>
      </c>
      <c r="G275" t="str">
        <f t="shared" si="14"/>
        <v/>
      </c>
    </row>
    <row r="276" spans="1:7" x14ac:dyDescent="0.3">
      <c r="A276">
        <f>IF('Output Report'!$H$71+2&gt;ROW(A275),ROW(A275),0)</f>
        <v>0</v>
      </c>
      <c r="B276" t="str">
        <f>IF(AND(A276&gt;0,A276&lt;='Output Report'!$H$71+1),B275+MC_hist!$M$11/'Output Report'!$H$71,"")</f>
        <v/>
      </c>
      <c r="C276" t="str">
        <f t="shared" si="12"/>
        <v/>
      </c>
      <c r="D276" s="45" t="str">
        <f>IF(A277&gt;0,C276/'Output Report'!$H$70,"")</f>
        <v/>
      </c>
      <c r="E276" s="46" t="str">
        <f>IF(A277&gt;0,SUM($D$2:D276),"")</f>
        <v/>
      </c>
      <c r="F276" t="str">
        <f t="shared" si="13"/>
        <v/>
      </c>
      <c r="G276" t="str">
        <f t="shared" si="14"/>
        <v/>
      </c>
    </row>
    <row r="277" spans="1:7" x14ac:dyDescent="0.3">
      <c r="A277">
        <f>IF('Output Report'!$H$71+2&gt;ROW(A276),ROW(A276),0)</f>
        <v>0</v>
      </c>
      <c r="B277" t="str">
        <f>IF(AND(A277&gt;0,A277&lt;='Output Report'!$H$71+1),B276+MC_hist!$M$11/'Output Report'!$H$71,"")</f>
        <v/>
      </c>
      <c r="C277" t="str">
        <f t="shared" si="12"/>
        <v/>
      </c>
      <c r="D277" s="45" t="str">
        <f>IF(A278&gt;0,C277/'Output Report'!$H$70,"")</f>
        <v/>
      </c>
      <c r="E277" s="46" t="str">
        <f>IF(A278&gt;0,SUM($D$2:D277),"")</f>
        <v/>
      </c>
      <c r="F277" t="str">
        <f t="shared" si="13"/>
        <v/>
      </c>
      <c r="G277" t="str">
        <f t="shared" si="14"/>
        <v/>
      </c>
    </row>
    <row r="278" spans="1:7" x14ac:dyDescent="0.3">
      <c r="A278">
        <f>IF('Output Report'!$H$71+2&gt;ROW(A277),ROW(A277),0)</f>
        <v>0</v>
      </c>
      <c r="B278" t="str">
        <f>IF(AND(A278&gt;0,A278&lt;='Output Report'!$H$71+1),B277+MC_hist!$M$11/'Output Report'!$H$71,"")</f>
        <v/>
      </c>
      <c r="C278" t="str">
        <f t="shared" si="12"/>
        <v/>
      </c>
      <c r="D278" s="45" t="str">
        <f>IF(A279&gt;0,C278/'Output Report'!$H$70,"")</f>
        <v/>
      </c>
      <c r="E278" s="46" t="str">
        <f>IF(A279&gt;0,SUM($D$2:D278),"")</f>
        <v/>
      </c>
      <c r="F278" t="str">
        <f t="shared" si="13"/>
        <v/>
      </c>
      <c r="G278" t="str">
        <f t="shared" si="14"/>
        <v/>
      </c>
    </row>
    <row r="279" spans="1:7" x14ac:dyDescent="0.3">
      <c r="A279">
        <f>IF('Output Report'!$H$71+2&gt;ROW(A278),ROW(A278),0)</f>
        <v>0</v>
      </c>
      <c r="B279" t="str">
        <f>IF(AND(A279&gt;0,A279&lt;='Output Report'!$H$71+1),B278+MC_hist!$M$11/'Output Report'!$H$71,"")</f>
        <v/>
      </c>
      <c r="C279" t="str">
        <f t="shared" si="12"/>
        <v/>
      </c>
      <c r="D279" s="45" t="str">
        <f>IF(A280&gt;0,C279/'Output Report'!$H$70,"")</f>
        <v/>
      </c>
      <c r="E279" s="46" t="str">
        <f>IF(A280&gt;0,SUM($D$2:D279),"")</f>
        <v/>
      </c>
      <c r="F279" t="str">
        <f t="shared" si="13"/>
        <v/>
      </c>
      <c r="G279" t="str">
        <f t="shared" si="14"/>
        <v/>
      </c>
    </row>
    <row r="280" spans="1:7" x14ac:dyDescent="0.3">
      <c r="A280">
        <f>IF('Output Report'!$H$71+2&gt;ROW(A279),ROW(A279),0)</f>
        <v>0</v>
      </c>
      <c r="B280" t="str">
        <f>IF(AND(A280&gt;0,A280&lt;='Output Report'!$H$71+1),B279+MC_hist!$M$11/'Output Report'!$H$71,"")</f>
        <v/>
      </c>
      <c r="C280" t="str">
        <f t="shared" si="12"/>
        <v/>
      </c>
      <c r="D280" s="45" t="str">
        <f>IF(A281&gt;0,C280/'Output Report'!$H$70,"")</f>
        <v/>
      </c>
      <c r="E280" s="46" t="str">
        <f>IF(A281&gt;0,SUM($D$2:D280),"")</f>
        <v/>
      </c>
      <c r="F280" t="str">
        <f t="shared" si="13"/>
        <v/>
      </c>
      <c r="G280" t="str">
        <f t="shared" si="14"/>
        <v/>
      </c>
    </row>
    <row r="281" spans="1:7" x14ac:dyDescent="0.3">
      <c r="A281">
        <f>IF('Output Report'!$H$71+2&gt;ROW(A280),ROW(A280),0)</f>
        <v>0</v>
      </c>
      <c r="B281" t="str">
        <f>IF(AND(A281&gt;0,A281&lt;='Output Report'!$H$71+1),B280+MC_hist!$M$11/'Output Report'!$H$71,"")</f>
        <v/>
      </c>
      <c r="C281" t="str">
        <f t="shared" si="12"/>
        <v/>
      </c>
      <c r="D281" s="45" t="str">
        <f>IF(A282&gt;0,C281/'Output Report'!$H$70,"")</f>
        <v/>
      </c>
      <c r="E281" s="46" t="str">
        <f>IF(A282&gt;0,SUM($D$2:D281),"")</f>
        <v/>
      </c>
      <c r="F281" t="str">
        <f t="shared" si="13"/>
        <v/>
      </c>
      <c r="G281" t="str">
        <f t="shared" si="14"/>
        <v/>
      </c>
    </row>
    <row r="282" spans="1:7" x14ac:dyDescent="0.3">
      <c r="A282">
        <f>IF('Output Report'!$H$71+2&gt;ROW(A281),ROW(A281),0)</f>
        <v>0</v>
      </c>
      <c r="B282" t="str">
        <f>IF(AND(A282&gt;0,A282&lt;='Output Report'!$H$71+1),B281+MC_hist!$M$11/'Output Report'!$H$71,"")</f>
        <v/>
      </c>
      <c r="C282" t="str">
        <f t="shared" si="12"/>
        <v/>
      </c>
      <c r="D282" s="45" t="str">
        <f>IF(A283&gt;0,C282/'Output Report'!$H$70,"")</f>
        <v/>
      </c>
      <c r="E282" s="46" t="str">
        <f>IF(A283&gt;0,SUM($D$2:D282),"")</f>
        <v/>
      </c>
      <c r="F282" t="str">
        <f t="shared" si="13"/>
        <v/>
      </c>
      <c r="G282" t="str">
        <f t="shared" si="14"/>
        <v/>
      </c>
    </row>
    <row r="283" spans="1:7" x14ac:dyDescent="0.3">
      <c r="A283">
        <f>IF('Output Report'!$H$71+2&gt;ROW(A282),ROW(A282),0)</f>
        <v>0</v>
      </c>
      <c r="B283" t="str">
        <f>IF(AND(A283&gt;0,A283&lt;='Output Report'!$H$71+1),B282+MC_hist!$M$11/'Output Report'!$H$71,"")</f>
        <v/>
      </c>
      <c r="C283" t="str">
        <f t="shared" si="12"/>
        <v/>
      </c>
      <c r="D283" s="45" t="str">
        <f>IF(A284&gt;0,C283/'Output Report'!$H$70,"")</f>
        <v/>
      </c>
      <c r="E283" s="46" t="str">
        <f>IF(A284&gt;0,SUM($D$2:D283),"")</f>
        <v/>
      </c>
      <c r="F283" t="str">
        <f t="shared" si="13"/>
        <v/>
      </c>
      <c r="G283" t="str">
        <f t="shared" si="14"/>
        <v/>
      </c>
    </row>
    <row r="284" spans="1:7" x14ac:dyDescent="0.3">
      <c r="A284">
        <f>IF('Output Report'!$H$71+2&gt;ROW(A283),ROW(A283),0)</f>
        <v>0</v>
      </c>
      <c r="B284" t="str">
        <f>IF(AND(A284&gt;0,A284&lt;='Output Report'!$H$71+1),B283+MC_hist!$M$11/'Output Report'!$H$71,"")</f>
        <v/>
      </c>
      <c r="C284" t="str">
        <f t="shared" si="12"/>
        <v/>
      </c>
      <c r="D284" s="45" t="str">
        <f>IF(A285&gt;0,C284/'Output Report'!$H$70,"")</f>
        <v/>
      </c>
      <c r="E284" s="46" t="str">
        <f>IF(A285&gt;0,SUM($D$2:D284),"")</f>
        <v/>
      </c>
      <c r="F284" t="str">
        <f t="shared" si="13"/>
        <v/>
      </c>
      <c r="G284" t="str">
        <f t="shared" si="14"/>
        <v/>
      </c>
    </row>
    <row r="285" spans="1:7" x14ac:dyDescent="0.3">
      <c r="A285">
        <f>IF('Output Report'!$H$71+2&gt;ROW(A284),ROW(A284),0)</f>
        <v>0</v>
      </c>
      <c r="B285" t="str">
        <f>IF(AND(A285&gt;0,A285&lt;='Output Report'!$H$71+1),B284+MC_hist!$M$11/'Output Report'!$H$71,"")</f>
        <v/>
      </c>
      <c r="C285" t="str">
        <f t="shared" si="12"/>
        <v/>
      </c>
      <c r="D285" s="45" t="str">
        <f>IF(A286&gt;0,C285/'Output Report'!$H$70,"")</f>
        <v/>
      </c>
      <c r="E285" s="46" t="str">
        <f>IF(A286&gt;0,SUM($D$2:D285),"")</f>
        <v/>
      </c>
      <c r="F285" t="str">
        <f t="shared" si="13"/>
        <v/>
      </c>
      <c r="G285" t="str">
        <f t="shared" si="14"/>
        <v/>
      </c>
    </row>
    <row r="286" spans="1:7" x14ac:dyDescent="0.3">
      <c r="A286">
        <f>IF('Output Report'!$H$71+2&gt;ROW(A285),ROW(A285),0)</f>
        <v>0</v>
      </c>
      <c r="B286" t="str">
        <f>IF(AND(A286&gt;0,A286&lt;='Output Report'!$H$71+1),B285+MC_hist!$M$11/'Output Report'!$H$71,"")</f>
        <v/>
      </c>
      <c r="C286" t="str">
        <f t="shared" si="12"/>
        <v/>
      </c>
      <c r="D286" s="45" t="str">
        <f>IF(A287&gt;0,C286/'Output Report'!$H$70,"")</f>
        <v/>
      </c>
      <c r="E286" s="46" t="str">
        <f>IF(A287&gt;0,SUM($D$2:D286),"")</f>
        <v/>
      </c>
      <c r="F286" t="str">
        <f t="shared" si="13"/>
        <v/>
      </c>
      <c r="G286" t="str">
        <f t="shared" si="14"/>
        <v/>
      </c>
    </row>
    <row r="287" spans="1:7" x14ac:dyDescent="0.3">
      <c r="A287">
        <f>IF('Output Report'!$H$71+2&gt;ROW(A286),ROW(A286),0)</f>
        <v>0</v>
      </c>
      <c r="B287" t="str">
        <f>IF(AND(A287&gt;0,A287&lt;='Output Report'!$H$71+1),B286+MC_hist!$M$11/'Output Report'!$H$71,"")</f>
        <v/>
      </c>
      <c r="C287" t="str">
        <f t="shared" si="12"/>
        <v/>
      </c>
      <c r="D287" s="45" t="str">
        <f>IF(A288&gt;0,C287/'Output Report'!$H$70,"")</f>
        <v/>
      </c>
      <c r="E287" s="46" t="str">
        <f>IF(A288&gt;0,SUM($D$2:D287),"")</f>
        <v/>
      </c>
      <c r="F287" t="str">
        <f t="shared" si="13"/>
        <v/>
      </c>
      <c r="G287" t="str">
        <f t="shared" si="14"/>
        <v/>
      </c>
    </row>
    <row r="288" spans="1:7" x14ac:dyDescent="0.3">
      <c r="A288">
        <f>IF('Output Report'!$H$71+2&gt;ROW(A287),ROW(A287),0)</f>
        <v>0</v>
      </c>
      <c r="B288" t="str">
        <f>IF(AND(A288&gt;0,A288&lt;='Output Report'!$H$71+1),B287+MC_hist!$M$11/'Output Report'!$H$71,"")</f>
        <v/>
      </c>
      <c r="C288" t="str">
        <f t="shared" si="12"/>
        <v/>
      </c>
      <c r="D288" s="45" t="str">
        <f>IF(A289&gt;0,C288/'Output Report'!$H$70,"")</f>
        <v/>
      </c>
      <c r="E288" s="46" t="str">
        <f>IF(A289&gt;0,SUM($D$2:D288),"")</f>
        <v/>
      </c>
      <c r="F288" t="str">
        <f t="shared" si="13"/>
        <v/>
      </c>
      <c r="G288" t="str">
        <f t="shared" si="14"/>
        <v/>
      </c>
    </row>
    <row r="289" spans="1:7" x14ac:dyDescent="0.3">
      <c r="A289">
        <f>IF('Output Report'!$H$71+2&gt;ROW(A288),ROW(A288),0)</f>
        <v>0</v>
      </c>
      <c r="B289" t="str">
        <f>IF(AND(A289&gt;0,A289&lt;='Output Report'!$H$71+1),B288+MC_hist!$M$11/'Output Report'!$H$71,"")</f>
        <v/>
      </c>
      <c r="C289" t="str">
        <f t="shared" si="12"/>
        <v/>
      </c>
      <c r="D289" s="45" t="str">
        <f>IF(A290&gt;0,C289/'Output Report'!$H$70,"")</f>
        <v/>
      </c>
      <c r="E289" s="46" t="str">
        <f>IF(A290&gt;0,SUM($D$2:D289),"")</f>
        <v/>
      </c>
      <c r="F289" t="str">
        <f t="shared" si="13"/>
        <v/>
      </c>
      <c r="G289" t="str">
        <f t="shared" si="14"/>
        <v/>
      </c>
    </row>
    <row r="290" spans="1:7" x14ac:dyDescent="0.3">
      <c r="A290">
        <f>IF('Output Report'!$H$71+2&gt;ROW(A289),ROW(A289),0)</f>
        <v>0</v>
      </c>
      <c r="B290" t="str">
        <f>IF(AND(A290&gt;0,A290&lt;='Output Report'!$H$71+1),B289+MC_hist!$M$11/'Output Report'!$H$71,"")</f>
        <v/>
      </c>
      <c r="C290" t="str">
        <f t="shared" si="12"/>
        <v/>
      </c>
      <c r="D290" s="45" t="str">
        <f>IF(A291&gt;0,C290/'Output Report'!$H$70,"")</f>
        <v/>
      </c>
      <c r="E290" s="46" t="str">
        <f>IF(A291&gt;0,SUM($D$2:D290),"")</f>
        <v/>
      </c>
      <c r="F290" t="str">
        <f t="shared" si="13"/>
        <v/>
      </c>
      <c r="G290" t="str">
        <f t="shared" si="14"/>
        <v/>
      </c>
    </row>
    <row r="291" spans="1:7" x14ac:dyDescent="0.3">
      <c r="A291">
        <f>IF('Output Report'!$H$71+2&gt;ROW(A290),ROW(A290),0)</f>
        <v>0</v>
      </c>
      <c r="B291" t="str">
        <f>IF(AND(A291&gt;0,A291&lt;='Output Report'!$H$71+1),B290+MC_hist!$M$11/'Output Report'!$H$71,"")</f>
        <v/>
      </c>
      <c r="C291" t="str">
        <f t="shared" si="12"/>
        <v/>
      </c>
      <c r="D291" s="45" t="str">
        <f>IF(A292&gt;0,C291/'Output Report'!$H$70,"")</f>
        <v/>
      </c>
      <c r="E291" s="46" t="str">
        <f>IF(A292&gt;0,SUM($D$2:D291),"")</f>
        <v/>
      </c>
      <c r="F291" t="str">
        <f t="shared" si="13"/>
        <v/>
      </c>
      <c r="G291" t="str">
        <f t="shared" si="14"/>
        <v/>
      </c>
    </row>
    <row r="292" spans="1:7" x14ac:dyDescent="0.3">
      <c r="A292">
        <f>IF('Output Report'!$H$71+2&gt;ROW(A291),ROW(A291),0)</f>
        <v>0</v>
      </c>
      <c r="B292" t="str">
        <f>IF(AND(A292&gt;0,A292&lt;='Output Report'!$H$71+1),B291+MC_hist!$M$11/'Output Report'!$H$71,"")</f>
        <v/>
      </c>
      <c r="C292" t="str">
        <f t="shared" si="12"/>
        <v/>
      </c>
      <c r="D292" s="45" t="str">
        <f>IF(A293&gt;0,C292/'Output Report'!$H$70,"")</f>
        <v/>
      </c>
      <c r="E292" s="46" t="str">
        <f>IF(A293&gt;0,SUM($D$2:D292),"")</f>
        <v/>
      </c>
      <c r="F292" t="str">
        <f t="shared" si="13"/>
        <v/>
      </c>
      <c r="G292" t="str">
        <f t="shared" si="14"/>
        <v/>
      </c>
    </row>
    <row r="293" spans="1:7" x14ac:dyDescent="0.3">
      <c r="A293">
        <f>IF('Output Report'!$H$71+2&gt;ROW(A292),ROW(A292),0)</f>
        <v>0</v>
      </c>
      <c r="B293" t="str">
        <f>IF(AND(A293&gt;0,A293&lt;='Output Report'!$H$71+1),B292+MC_hist!$M$11/'Output Report'!$H$71,"")</f>
        <v/>
      </c>
      <c r="C293" t="str">
        <f t="shared" si="12"/>
        <v/>
      </c>
      <c r="D293" s="45" t="str">
        <f>IF(A294&gt;0,C293/'Output Report'!$H$70,"")</f>
        <v/>
      </c>
      <c r="E293" s="46" t="str">
        <f>IF(A294&gt;0,SUM($D$2:D293),"")</f>
        <v/>
      </c>
      <c r="F293" t="str">
        <f t="shared" si="13"/>
        <v/>
      </c>
      <c r="G293" t="str">
        <f t="shared" si="14"/>
        <v/>
      </c>
    </row>
    <row r="294" spans="1:7" x14ac:dyDescent="0.3">
      <c r="A294">
        <f>IF('Output Report'!$H$71+2&gt;ROW(A293),ROW(A293),0)</f>
        <v>0</v>
      </c>
      <c r="B294" t="str">
        <f>IF(AND(A294&gt;0,A294&lt;='Output Report'!$H$71+1),B293+MC_hist!$M$11/'Output Report'!$H$71,"")</f>
        <v/>
      </c>
      <c r="C294" t="str">
        <f t="shared" si="12"/>
        <v/>
      </c>
      <c r="D294" s="45" t="str">
        <f>IF(A295&gt;0,C294/'Output Report'!$H$70,"")</f>
        <v/>
      </c>
      <c r="E294" s="46" t="str">
        <f>IF(A295&gt;0,SUM($D$2:D294),"")</f>
        <v/>
      </c>
      <c r="F294" t="str">
        <f t="shared" si="13"/>
        <v/>
      </c>
      <c r="G294" t="str">
        <f t="shared" si="14"/>
        <v/>
      </c>
    </row>
    <row r="295" spans="1:7" x14ac:dyDescent="0.3">
      <c r="A295">
        <f>IF('Output Report'!$H$71+2&gt;ROW(A294),ROW(A294),0)</f>
        <v>0</v>
      </c>
      <c r="B295" t="str">
        <f>IF(AND(A295&gt;0,A295&lt;='Output Report'!$H$71+1),B294+MC_hist!$M$11/'Output Report'!$H$71,"")</f>
        <v/>
      </c>
      <c r="C295" t="str">
        <f t="shared" si="12"/>
        <v/>
      </c>
      <c r="D295" s="45" t="str">
        <f>IF(A296&gt;0,C295/'Output Report'!$H$70,"")</f>
        <v/>
      </c>
      <c r="E295" s="46" t="str">
        <f>IF(A296&gt;0,SUM($D$2:D295),"")</f>
        <v/>
      </c>
      <c r="F295" t="str">
        <f t="shared" si="13"/>
        <v/>
      </c>
      <c r="G295" t="str">
        <f t="shared" si="14"/>
        <v/>
      </c>
    </row>
    <row r="296" spans="1:7" x14ac:dyDescent="0.3">
      <c r="A296">
        <f>IF('Output Report'!$H$71+2&gt;ROW(A295),ROW(A295),0)</f>
        <v>0</v>
      </c>
      <c r="B296" t="str">
        <f>IF(AND(A296&gt;0,A296&lt;='Output Report'!$H$71+1),B295+MC_hist!$M$11/'Output Report'!$H$71,"")</f>
        <v/>
      </c>
      <c r="C296" t="str">
        <f t="shared" si="12"/>
        <v/>
      </c>
      <c r="D296" s="45" t="str">
        <f>IF(A297&gt;0,C296/'Output Report'!$H$70,"")</f>
        <v/>
      </c>
      <c r="E296" s="46" t="str">
        <f>IF(A297&gt;0,SUM($D$2:D296),"")</f>
        <v/>
      </c>
      <c r="F296" t="str">
        <f t="shared" si="13"/>
        <v/>
      </c>
      <c r="G296" t="str">
        <f t="shared" si="14"/>
        <v/>
      </c>
    </row>
    <row r="297" spans="1:7" x14ac:dyDescent="0.3">
      <c r="A297">
        <f>IF('Output Report'!$H$71+2&gt;ROW(A296),ROW(A296),0)</f>
        <v>0</v>
      </c>
      <c r="B297" t="str">
        <f>IF(AND(A297&gt;0,A297&lt;='Output Report'!$H$71+1),B296+MC_hist!$M$11/'Output Report'!$H$71,"")</f>
        <v/>
      </c>
      <c r="C297" t="str">
        <f t="shared" si="12"/>
        <v/>
      </c>
      <c r="D297" s="45" t="str">
        <f>IF(A298&gt;0,C297/'Output Report'!$H$70,"")</f>
        <v/>
      </c>
      <c r="E297" s="46" t="str">
        <f>IF(A298&gt;0,SUM($D$2:D297),"")</f>
        <v/>
      </c>
      <c r="F297" t="str">
        <f t="shared" si="13"/>
        <v/>
      </c>
      <c r="G297" t="str">
        <f t="shared" si="14"/>
        <v/>
      </c>
    </row>
    <row r="298" spans="1:7" x14ac:dyDescent="0.3">
      <c r="A298">
        <f>IF('Output Report'!$H$71+2&gt;ROW(A297),ROW(A297),0)</f>
        <v>0</v>
      </c>
      <c r="B298" t="str">
        <f>IF(AND(A298&gt;0,A298&lt;='Output Report'!$H$71+1),B297+MC_hist!$M$11/'Output Report'!$H$71,"")</f>
        <v/>
      </c>
      <c r="C298" t="str">
        <f t="shared" si="12"/>
        <v/>
      </c>
      <c r="D298" s="45" t="str">
        <f>IF(A299&gt;0,C298/'Output Report'!$H$70,"")</f>
        <v/>
      </c>
      <c r="E298" s="46" t="str">
        <f>IF(A299&gt;0,SUM($D$2:D298),"")</f>
        <v/>
      </c>
      <c r="F298" t="str">
        <f t="shared" si="13"/>
        <v/>
      </c>
      <c r="G298" t="str">
        <f t="shared" si="14"/>
        <v/>
      </c>
    </row>
    <row r="299" spans="1:7" x14ac:dyDescent="0.3">
      <c r="A299">
        <f>IF('Output Report'!$H$71+2&gt;ROW(A298),ROW(A298),0)</f>
        <v>0</v>
      </c>
      <c r="B299" t="str">
        <f>IF(AND(A299&gt;0,A299&lt;='Output Report'!$H$71+1),B298+MC_hist!$M$11/'Output Report'!$H$71,"")</f>
        <v/>
      </c>
      <c r="C299" t="str">
        <f t="shared" si="12"/>
        <v/>
      </c>
      <c r="D299" s="45" t="str">
        <f>IF(A300&gt;0,C299/'Output Report'!$H$70,"")</f>
        <v/>
      </c>
      <c r="E299" s="46" t="str">
        <f>IF(A300&gt;0,SUM($D$2:D299),"")</f>
        <v/>
      </c>
      <c r="F299" t="str">
        <f t="shared" si="13"/>
        <v/>
      </c>
      <c r="G299" t="str">
        <f t="shared" si="14"/>
        <v/>
      </c>
    </row>
    <row r="300" spans="1:7" x14ac:dyDescent="0.3">
      <c r="A300">
        <f>IF('Output Report'!$H$71+2&gt;ROW(A299),ROW(A299),0)</f>
        <v>0</v>
      </c>
      <c r="B300" t="str">
        <f>IF(AND(A300&gt;0,A300&lt;='Output Report'!$H$71+1),B299+MC_hist!$M$11/'Output Report'!$H$71,"")</f>
        <v/>
      </c>
      <c r="C300" t="str">
        <f t="shared" si="12"/>
        <v/>
      </c>
      <c r="D300" s="45" t="str">
        <f>IF(A301&gt;0,C300/'Output Report'!$H$70,"")</f>
        <v/>
      </c>
      <c r="E300" s="46" t="str">
        <f>IF(A301&gt;0,SUM($D$2:D300),"")</f>
        <v/>
      </c>
      <c r="F300" t="str">
        <f t="shared" si="13"/>
        <v/>
      </c>
      <c r="G300" t="str">
        <f t="shared" si="14"/>
        <v/>
      </c>
    </row>
    <row r="301" spans="1:7" x14ac:dyDescent="0.3">
      <c r="A301">
        <f>IF('Output Report'!$H$71+2&gt;ROW(A300),ROW(A300),0)</f>
        <v>0</v>
      </c>
      <c r="B301" t="str">
        <f>IF(AND(A301&gt;0,A301&lt;='Output Report'!$H$71+1),B300+MC_hist!$M$11/'Output Report'!$H$71,"")</f>
        <v/>
      </c>
      <c r="C301" t="str">
        <f t="shared" si="12"/>
        <v/>
      </c>
      <c r="D301" s="45" t="str">
        <f>IF(A302&gt;0,C301/'Output Report'!$H$70,"")</f>
        <v/>
      </c>
      <c r="E301" s="46" t="str">
        <f>IF(A302&gt;0,SUM($D$2:D301),"")</f>
        <v/>
      </c>
      <c r="F301" t="str">
        <f t="shared" si="13"/>
        <v/>
      </c>
      <c r="G301" t="str">
        <f t="shared" si="14"/>
        <v/>
      </c>
    </row>
    <row r="302" spans="1:7" x14ac:dyDescent="0.3">
      <c r="A302">
        <f>IF('Output Report'!$H$71+2&gt;ROW(A301),ROW(A301),0)</f>
        <v>0</v>
      </c>
      <c r="B302" t="str">
        <f>IF(AND(A302&gt;0,A302&lt;='Output Report'!$H$71+1),B301+MC_hist!$M$11/'Output Report'!$H$71,"")</f>
        <v/>
      </c>
      <c r="C302" t="str">
        <f t="shared" ref="C302:C365" si="15">IF(A303&gt;0,COUNTIFS(data_sim,"&gt;"&amp;B302,data_sim,"&lt;="&amp;B303),"")</f>
        <v/>
      </c>
      <c r="D302" s="45" t="str">
        <f>IF(A303&gt;0,C302/'Output Report'!$H$70,"")</f>
        <v/>
      </c>
      <c r="E302" s="46" t="str">
        <f>IF(A303&gt;0,SUM($D$2:D302),"")</f>
        <v/>
      </c>
      <c r="F302" t="str">
        <f t="shared" ref="F302:F365" si="16">IF(B302&lt;=0,D302,"")</f>
        <v/>
      </c>
      <c r="G302" t="str">
        <f t="shared" si="14"/>
        <v/>
      </c>
    </row>
    <row r="303" spans="1:7" x14ac:dyDescent="0.3">
      <c r="A303">
        <f>IF('Output Report'!$H$71+2&gt;ROW(A302),ROW(A302),0)</f>
        <v>0</v>
      </c>
      <c r="B303" t="str">
        <f>IF(AND(A303&gt;0,A303&lt;='Output Report'!$H$71+1),B302+MC_hist!$M$11/'Output Report'!$H$71,"")</f>
        <v/>
      </c>
      <c r="C303" t="str">
        <f t="shared" si="15"/>
        <v/>
      </c>
      <c r="D303" s="45" t="str">
        <f>IF(A304&gt;0,C303/'Output Report'!$H$70,"")</f>
        <v/>
      </c>
      <c r="E303" s="46" t="str">
        <f>IF(A304&gt;0,SUM($D$2:D303),"")</f>
        <v/>
      </c>
      <c r="F303" t="str">
        <f t="shared" si="16"/>
        <v/>
      </c>
      <c r="G303" t="str">
        <f t="shared" si="14"/>
        <v/>
      </c>
    </row>
    <row r="304" spans="1:7" x14ac:dyDescent="0.3">
      <c r="A304">
        <f>IF('Output Report'!$H$71+2&gt;ROW(A303),ROW(A303),0)</f>
        <v>0</v>
      </c>
      <c r="B304" t="str">
        <f>IF(AND(A304&gt;0,A304&lt;='Output Report'!$H$71+1),B303+MC_hist!$M$11/'Output Report'!$H$71,"")</f>
        <v/>
      </c>
      <c r="C304" t="str">
        <f t="shared" si="15"/>
        <v/>
      </c>
      <c r="D304" s="45" t="str">
        <f>IF(A305&gt;0,C304/'Output Report'!$H$70,"")</f>
        <v/>
      </c>
      <c r="E304" s="46" t="str">
        <f>IF(A305&gt;0,SUM($D$2:D304),"")</f>
        <v/>
      </c>
      <c r="F304" t="str">
        <f t="shared" si="16"/>
        <v/>
      </c>
      <c r="G304" t="str">
        <f t="shared" si="14"/>
        <v/>
      </c>
    </row>
    <row r="305" spans="1:7" x14ac:dyDescent="0.3">
      <c r="A305">
        <f>IF('Output Report'!$H$71+2&gt;ROW(A304),ROW(A304),0)</f>
        <v>0</v>
      </c>
      <c r="B305" t="str">
        <f>IF(AND(A305&gt;0,A305&lt;='Output Report'!$H$71+1),B304+MC_hist!$M$11/'Output Report'!$H$71,"")</f>
        <v/>
      </c>
      <c r="C305" t="str">
        <f t="shared" si="15"/>
        <v/>
      </c>
      <c r="D305" s="45" t="str">
        <f>IF(A306&gt;0,C305/'Output Report'!$H$70,"")</f>
        <v/>
      </c>
      <c r="E305" s="46" t="str">
        <f>IF(A306&gt;0,SUM($D$2:D305),"")</f>
        <v/>
      </c>
      <c r="F305" t="str">
        <f t="shared" si="16"/>
        <v/>
      </c>
      <c r="G305" t="str">
        <f t="shared" si="14"/>
        <v/>
      </c>
    </row>
    <row r="306" spans="1:7" x14ac:dyDescent="0.3">
      <c r="A306">
        <f>IF('Output Report'!$H$71+2&gt;ROW(A305),ROW(A305),0)</f>
        <v>0</v>
      </c>
      <c r="B306" t="str">
        <f>IF(AND(A306&gt;0,A306&lt;='Output Report'!$H$71+1),B305+MC_hist!$M$11/'Output Report'!$H$71,"")</f>
        <v/>
      </c>
      <c r="C306" t="str">
        <f t="shared" si="15"/>
        <v/>
      </c>
      <c r="D306" s="45" t="str">
        <f>IF(A307&gt;0,C306/'Output Report'!$H$70,"")</f>
        <v/>
      </c>
      <c r="E306" s="46" t="str">
        <f>IF(A307&gt;0,SUM($D$2:D306),"")</f>
        <v/>
      </c>
      <c r="F306" t="str">
        <f t="shared" si="16"/>
        <v/>
      </c>
      <c r="G306" t="str">
        <f t="shared" si="14"/>
        <v/>
      </c>
    </row>
    <row r="307" spans="1:7" x14ac:dyDescent="0.3">
      <c r="A307">
        <f>IF('Output Report'!$H$71+2&gt;ROW(A306),ROW(A306),0)</f>
        <v>0</v>
      </c>
      <c r="B307" t="str">
        <f>IF(AND(A307&gt;0,A307&lt;='Output Report'!$H$71+1),B306+MC_hist!$M$11/'Output Report'!$H$71,"")</f>
        <v/>
      </c>
      <c r="C307" t="str">
        <f t="shared" si="15"/>
        <v/>
      </c>
      <c r="D307" s="45" t="str">
        <f>IF(A308&gt;0,C307/'Output Report'!$H$70,"")</f>
        <v/>
      </c>
      <c r="E307" s="46" t="str">
        <f>IF(A308&gt;0,SUM($D$2:D307),"")</f>
        <v/>
      </c>
      <c r="F307" t="str">
        <f t="shared" si="16"/>
        <v/>
      </c>
      <c r="G307" t="str">
        <f t="shared" si="14"/>
        <v/>
      </c>
    </row>
    <row r="308" spans="1:7" x14ac:dyDescent="0.3">
      <c r="A308">
        <f>IF('Output Report'!$H$71+2&gt;ROW(A307),ROW(A307),0)</f>
        <v>0</v>
      </c>
      <c r="B308" t="str">
        <f>IF(AND(A308&gt;0,A308&lt;='Output Report'!$H$71+1),B307+MC_hist!$M$11/'Output Report'!$H$71,"")</f>
        <v/>
      </c>
      <c r="C308" t="str">
        <f t="shared" si="15"/>
        <v/>
      </c>
      <c r="D308" s="45" t="str">
        <f>IF(A309&gt;0,C308/'Output Report'!$H$70,"")</f>
        <v/>
      </c>
      <c r="E308" s="46" t="str">
        <f>IF(A309&gt;0,SUM($D$2:D308),"")</f>
        <v/>
      </c>
      <c r="F308" t="str">
        <f t="shared" si="16"/>
        <v/>
      </c>
      <c r="G308" t="str">
        <f t="shared" si="14"/>
        <v/>
      </c>
    </row>
    <row r="309" spans="1:7" x14ac:dyDescent="0.3">
      <c r="A309">
        <f>IF('Output Report'!$H$71+2&gt;ROW(A308),ROW(A308),0)</f>
        <v>0</v>
      </c>
      <c r="B309" t="str">
        <f>IF(AND(A309&gt;0,A309&lt;='Output Report'!$H$71+1),B308+MC_hist!$M$11/'Output Report'!$H$71,"")</f>
        <v/>
      </c>
      <c r="C309" t="str">
        <f t="shared" si="15"/>
        <v/>
      </c>
      <c r="D309" s="45" t="str">
        <f>IF(A310&gt;0,C309/'Output Report'!$H$70,"")</f>
        <v/>
      </c>
      <c r="E309" s="46" t="str">
        <f>IF(A310&gt;0,SUM($D$2:D309),"")</f>
        <v/>
      </c>
      <c r="F309" t="str">
        <f t="shared" si="16"/>
        <v/>
      </c>
      <c r="G309" t="str">
        <f t="shared" si="14"/>
        <v/>
      </c>
    </row>
    <row r="310" spans="1:7" x14ac:dyDescent="0.3">
      <c r="A310">
        <f>IF('Output Report'!$H$71+2&gt;ROW(A309),ROW(A309),0)</f>
        <v>0</v>
      </c>
      <c r="B310" t="str">
        <f>IF(AND(A310&gt;0,A310&lt;='Output Report'!$H$71+1),B309+MC_hist!$M$11/'Output Report'!$H$71,"")</f>
        <v/>
      </c>
      <c r="C310" t="str">
        <f t="shared" si="15"/>
        <v/>
      </c>
      <c r="D310" s="45" t="str">
        <f>IF(A311&gt;0,C310/'Output Report'!$H$70,"")</f>
        <v/>
      </c>
      <c r="E310" s="46" t="str">
        <f>IF(A311&gt;0,SUM($D$2:D310),"")</f>
        <v/>
      </c>
      <c r="F310" t="str">
        <f t="shared" si="16"/>
        <v/>
      </c>
      <c r="G310" t="str">
        <f t="shared" si="14"/>
        <v/>
      </c>
    </row>
    <row r="311" spans="1:7" x14ac:dyDescent="0.3">
      <c r="A311">
        <f>IF('Output Report'!$H$71+2&gt;ROW(A310),ROW(A310),0)</f>
        <v>0</v>
      </c>
      <c r="B311" t="str">
        <f>IF(AND(A311&gt;0,A311&lt;='Output Report'!$H$71+1),B310+MC_hist!$M$11/'Output Report'!$H$71,"")</f>
        <v/>
      </c>
      <c r="C311" t="str">
        <f t="shared" si="15"/>
        <v/>
      </c>
      <c r="D311" s="45" t="str">
        <f>IF(A312&gt;0,C311/'Output Report'!$H$70,"")</f>
        <v/>
      </c>
      <c r="E311" s="46" t="str">
        <f>IF(A312&gt;0,SUM($D$2:D311),"")</f>
        <v/>
      </c>
      <c r="F311" t="str">
        <f t="shared" si="16"/>
        <v/>
      </c>
      <c r="G311" t="str">
        <f t="shared" si="14"/>
        <v/>
      </c>
    </row>
    <row r="312" spans="1:7" x14ac:dyDescent="0.3">
      <c r="A312">
        <f>IF('Output Report'!$H$71+2&gt;ROW(A311),ROW(A311),0)</f>
        <v>0</v>
      </c>
      <c r="B312" t="str">
        <f>IF(AND(A312&gt;0,A312&lt;='Output Report'!$H$71+1),B311+MC_hist!$M$11/'Output Report'!$H$71,"")</f>
        <v/>
      </c>
      <c r="C312" t="str">
        <f t="shared" si="15"/>
        <v/>
      </c>
      <c r="D312" s="45" t="str">
        <f>IF(A313&gt;0,C312/'Output Report'!$H$70,"")</f>
        <v/>
      </c>
      <c r="E312" s="46" t="str">
        <f>IF(A313&gt;0,SUM($D$2:D312),"")</f>
        <v/>
      </c>
      <c r="F312" t="str">
        <f t="shared" si="16"/>
        <v/>
      </c>
      <c r="G312" t="str">
        <f t="shared" si="14"/>
        <v/>
      </c>
    </row>
    <row r="313" spans="1:7" x14ac:dyDescent="0.3">
      <c r="A313">
        <f>IF('Output Report'!$H$71+2&gt;ROW(A312),ROW(A312),0)</f>
        <v>0</v>
      </c>
      <c r="B313" t="str">
        <f>IF(AND(A313&gt;0,A313&lt;='Output Report'!$H$71+1),B312+MC_hist!$M$11/'Output Report'!$H$71,"")</f>
        <v/>
      </c>
      <c r="C313" t="str">
        <f t="shared" si="15"/>
        <v/>
      </c>
      <c r="D313" s="45" t="str">
        <f>IF(A314&gt;0,C313/'Output Report'!$H$70,"")</f>
        <v/>
      </c>
      <c r="E313" s="46" t="str">
        <f>IF(A314&gt;0,SUM($D$2:D313),"")</f>
        <v/>
      </c>
      <c r="F313" t="str">
        <f t="shared" si="16"/>
        <v/>
      </c>
      <c r="G313" t="str">
        <f t="shared" si="14"/>
        <v/>
      </c>
    </row>
    <row r="314" spans="1:7" x14ac:dyDescent="0.3">
      <c r="A314">
        <f>IF('Output Report'!$H$71+2&gt;ROW(A313),ROW(A313),0)</f>
        <v>0</v>
      </c>
      <c r="B314" t="str">
        <f>IF(AND(A314&gt;0,A314&lt;='Output Report'!$H$71+1),B313+MC_hist!$M$11/'Output Report'!$H$71,"")</f>
        <v/>
      </c>
      <c r="C314" t="str">
        <f t="shared" si="15"/>
        <v/>
      </c>
      <c r="D314" s="45" t="str">
        <f>IF(A315&gt;0,C314/'Output Report'!$H$70,"")</f>
        <v/>
      </c>
      <c r="E314" s="46" t="str">
        <f>IF(A315&gt;0,SUM($D$2:D314),"")</f>
        <v/>
      </c>
      <c r="F314" t="str">
        <f t="shared" si="16"/>
        <v/>
      </c>
      <c r="G314" t="str">
        <f t="shared" si="14"/>
        <v/>
      </c>
    </row>
    <row r="315" spans="1:7" x14ac:dyDescent="0.3">
      <c r="A315">
        <f>IF('Output Report'!$H$71+2&gt;ROW(A314),ROW(A314),0)</f>
        <v>0</v>
      </c>
      <c r="B315" t="str">
        <f>IF(AND(A315&gt;0,A315&lt;='Output Report'!$H$71+1),B314+MC_hist!$M$11/'Output Report'!$H$71,"")</f>
        <v/>
      </c>
      <c r="C315" t="str">
        <f t="shared" si="15"/>
        <v/>
      </c>
      <c r="D315" s="45" t="str">
        <f>IF(A316&gt;0,C315/'Output Report'!$H$70,"")</f>
        <v/>
      </c>
      <c r="E315" s="46" t="str">
        <f>IF(A316&gt;0,SUM($D$2:D315),"")</f>
        <v/>
      </c>
      <c r="F315" t="str">
        <f t="shared" si="16"/>
        <v/>
      </c>
      <c r="G315" t="str">
        <f t="shared" si="14"/>
        <v/>
      </c>
    </row>
    <row r="316" spans="1:7" x14ac:dyDescent="0.3">
      <c r="A316">
        <f>IF('Output Report'!$H$71+2&gt;ROW(A315),ROW(A315),0)</f>
        <v>0</v>
      </c>
      <c r="B316" t="str">
        <f>IF(AND(A316&gt;0,A316&lt;='Output Report'!$H$71+1),B315+MC_hist!$M$11/'Output Report'!$H$71,"")</f>
        <v/>
      </c>
      <c r="C316" t="str">
        <f t="shared" si="15"/>
        <v/>
      </c>
      <c r="D316" s="45" t="str">
        <f>IF(A317&gt;0,C316/'Output Report'!$H$70,"")</f>
        <v/>
      </c>
      <c r="E316" s="46" t="str">
        <f>IF(A317&gt;0,SUM($D$2:D316),"")</f>
        <v/>
      </c>
      <c r="F316" t="str">
        <f t="shared" si="16"/>
        <v/>
      </c>
      <c r="G316" t="str">
        <f t="shared" si="14"/>
        <v/>
      </c>
    </row>
    <row r="317" spans="1:7" x14ac:dyDescent="0.3">
      <c r="A317">
        <f>IF('Output Report'!$H$71+2&gt;ROW(A316),ROW(A316),0)</f>
        <v>0</v>
      </c>
      <c r="B317" t="str">
        <f>IF(AND(A317&gt;0,A317&lt;='Output Report'!$H$71+1),B316+MC_hist!$M$11/'Output Report'!$H$71,"")</f>
        <v/>
      </c>
      <c r="C317" t="str">
        <f t="shared" si="15"/>
        <v/>
      </c>
      <c r="D317" s="45" t="str">
        <f>IF(A318&gt;0,C317/'Output Report'!$H$70,"")</f>
        <v/>
      </c>
      <c r="E317" s="46" t="str">
        <f>IF(A318&gt;0,SUM($D$2:D317),"")</f>
        <v/>
      </c>
      <c r="F317" t="str">
        <f t="shared" si="16"/>
        <v/>
      </c>
      <c r="G317" t="str">
        <f t="shared" si="14"/>
        <v/>
      </c>
    </row>
    <row r="318" spans="1:7" x14ac:dyDescent="0.3">
      <c r="A318">
        <f>IF('Output Report'!$H$71+2&gt;ROW(A317),ROW(A317),0)</f>
        <v>0</v>
      </c>
      <c r="B318" t="str">
        <f>IF(AND(A318&gt;0,A318&lt;='Output Report'!$H$71+1),B317+MC_hist!$M$11/'Output Report'!$H$71,"")</f>
        <v/>
      </c>
      <c r="C318" t="str">
        <f t="shared" si="15"/>
        <v/>
      </c>
      <c r="D318" s="45" t="str">
        <f>IF(A319&gt;0,C318/'Output Report'!$H$70,"")</f>
        <v/>
      </c>
      <c r="E318" s="46" t="str">
        <f>IF(A319&gt;0,SUM($D$2:D318),"")</f>
        <v/>
      </c>
      <c r="F318" t="str">
        <f t="shared" si="16"/>
        <v/>
      </c>
      <c r="G318" t="str">
        <f t="shared" si="14"/>
        <v/>
      </c>
    </row>
    <row r="319" spans="1:7" x14ac:dyDescent="0.3">
      <c r="A319">
        <f>IF('Output Report'!$H$71+2&gt;ROW(A318),ROW(A318),0)</f>
        <v>0</v>
      </c>
      <c r="B319" t="str">
        <f>IF(AND(A319&gt;0,A319&lt;='Output Report'!$H$71+1),B318+MC_hist!$M$11/'Output Report'!$H$71,"")</f>
        <v/>
      </c>
      <c r="C319" t="str">
        <f t="shared" si="15"/>
        <v/>
      </c>
      <c r="D319" s="45" t="str">
        <f>IF(A320&gt;0,C319/'Output Report'!$H$70,"")</f>
        <v/>
      </c>
      <c r="E319" s="46" t="str">
        <f>IF(A320&gt;0,SUM($D$2:D319),"")</f>
        <v/>
      </c>
      <c r="F319" t="str">
        <f t="shared" si="16"/>
        <v/>
      </c>
      <c r="G319" t="str">
        <f t="shared" si="14"/>
        <v/>
      </c>
    </row>
    <row r="320" spans="1:7" x14ac:dyDescent="0.3">
      <c r="A320">
        <f>IF('Output Report'!$H$71+2&gt;ROW(A319),ROW(A319),0)</f>
        <v>0</v>
      </c>
      <c r="B320" t="str">
        <f>IF(AND(A320&gt;0,A320&lt;='Output Report'!$H$71+1),B319+MC_hist!$M$11/'Output Report'!$H$71,"")</f>
        <v/>
      </c>
      <c r="C320" t="str">
        <f t="shared" si="15"/>
        <v/>
      </c>
      <c r="D320" s="45" t="str">
        <f>IF(A321&gt;0,C320/'Output Report'!$H$70,"")</f>
        <v/>
      </c>
      <c r="E320" s="46" t="str">
        <f>IF(A321&gt;0,SUM($D$2:D320),"")</f>
        <v/>
      </c>
      <c r="F320" t="str">
        <f t="shared" si="16"/>
        <v/>
      </c>
      <c r="G320" t="str">
        <f t="shared" si="14"/>
        <v/>
      </c>
    </row>
    <row r="321" spans="1:7" x14ac:dyDescent="0.3">
      <c r="A321">
        <f>IF('Output Report'!$H$71+2&gt;ROW(A320),ROW(A320),0)</f>
        <v>0</v>
      </c>
      <c r="B321" t="str">
        <f>IF(AND(A321&gt;0,A321&lt;='Output Report'!$H$71+1),B320+MC_hist!$M$11/'Output Report'!$H$71,"")</f>
        <v/>
      </c>
      <c r="C321" t="str">
        <f t="shared" si="15"/>
        <v/>
      </c>
      <c r="D321" s="45" t="str">
        <f>IF(A322&gt;0,C321/'Output Report'!$H$70,"")</f>
        <v/>
      </c>
      <c r="E321" s="46" t="str">
        <f>IF(A322&gt;0,SUM($D$2:D321),"")</f>
        <v/>
      </c>
      <c r="F321" t="str">
        <f t="shared" si="16"/>
        <v/>
      </c>
      <c r="G321" t="str">
        <f t="shared" si="14"/>
        <v/>
      </c>
    </row>
    <row r="322" spans="1:7" x14ac:dyDescent="0.3">
      <c r="A322">
        <f>IF('Output Report'!$H$71+2&gt;ROW(A321),ROW(A321),0)</f>
        <v>0</v>
      </c>
      <c r="B322" t="str">
        <f>IF(AND(A322&gt;0,A322&lt;='Output Report'!$H$71+1),B321+MC_hist!$M$11/'Output Report'!$H$71,"")</f>
        <v/>
      </c>
      <c r="C322" t="str">
        <f t="shared" si="15"/>
        <v/>
      </c>
      <c r="D322" s="45" t="str">
        <f>IF(A323&gt;0,C322/'Output Report'!$H$70,"")</f>
        <v/>
      </c>
      <c r="E322" s="46" t="str">
        <f>IF(A323&gt;0,SUM($D$2:D322),"")</f>
        <v/>
      </c>
      <c r="F322" t="str">
        <f t="shared" si="16"/>
        <v/>
      </c>
      <c r="G322" t="str">
        <f t="shared" si="14"/>
        <v/>
      </c>
    </row>
    <row r="323" spans="1:7" x14ac:dyDescent="0.3">
      <c r="A323">
        <f>IF('Output Report'!$H$71+2&gt;ROW(A322),ROW(A322),0)</f>
        <v>0</v>
      </c>
      <c r="B323" t="str">
        <f>IF(AND(A323&gt;0,A323&lt;='Output Report'!$H$71+1),B322+MC_hist!$M$11/'Output Report'!$H$71,"")</f>
        <v/>
      </c>
      <c r="C323" t="str">
        <f t="shared" si="15"/>
        <v/>
      </c>
      <c r="D323" s="45" t="str">
        <f>IF(A324&gt;0,C323/'Output Report'!$H$70,"")</f>
        <v/>
      </c>
      <c r="E323" s="46" t="str">
        <f>IF(A324&gt;0,SUM($D$2:D323),"")</f>
        <v/>
      </c>
      <c r="F323" t="str">
        <f t="shared" si="16"/>
        <v/>
      </c>
      <c r="G323" t="str">
        <f t="shared" ref="G323:G386" si="17">IF(B323&lt;=0,E323,"")</f>
        <v/>
      </c>
    </row>
    <row r="324" spans="1:7" x14ac:dyDescent="0.3">
      <c r="A324">
        <f>IF('Output Report'!$H$71+2&gt;ROW(A323),ROW(A323),0)</f>
        <v>0</v>
      </c>
      <c r="B324" t="str">
        <f>IF(AND(A324&gt;0,A324&lt;='Output Report'!$H$71+1),B323+MC_hist!$M$11/'Output Report'!$H$71,"")</f>
        <v/>
      </c>
      <c r="C324" t="str">
        <f t="shared" si="15"/>
        <v/>
      </c>
      <c r="D324" s="45" t="str">
        <f>IF(A325&gt;0,C324/'Output Report'!$H$70,"")</f>
        <v/>
      </c>
      <c r="E324" s="46" t="str">
        <f>IF(A325&gt;0,SUM($D$2:D324),"")</f>
        <v/>
      </c>
      <c r="F324" t="str">
        <f t="shared" si="16"/>
        <v/>
      </c>
      <c r="G324" t="str">
        <f t="shared" si="17"/>
        <v/>
      </c>
    </row>
    <row r="325" spans="1:7" x14ac:dyDescent="0.3">
      <c r="A325">
        <f>IF('Output Report'!$H$71+2&gt;ROW(A324),ROW(A324),0)</f>
        <v>0</v>
      </c>
      <c r="B325" t="str">
        <f>IF(AND(A325&gt;0,A325&lt;='Output Report'!$H$71+1),B324+MC_hist!$M$11/'Output Report'!$H$71,"")</f>
        <v/>
      </c>
      <c r="C325" t="str">
        <f t="shared" si="15"/>
        <v/>
      </c>
      <c r="D325" s="45" t="str">
        <f>IF(A326&gt;0,C325/'Output Report'!$H$70,"")</f>
        <v/>
      </c>
      <c r="E325" s="46" t="str">
        <f>IF(A326&gt;0,SUM($D$2:D325),"")</f>
        <v/>
      </c>
      <c r="F325" t="str">
        <f t="shared" si="16"/>
        <v/>
      </c>
      <c r="G325" t="str">
        <f t="shared" si="17"/>
        <v/>
      </c>
    </row>
    <row r="326" spans="1:7" x14ac:dyDescent="0.3">
      <c r="A326">
        <f>IF('Output Report'!$H$71+2&gt;ROW(A325),ROW(A325),0)</f>
        <v>0</v>
      </c>
      <c r="B326" t="str">
        <f>IF(AND(A326&gt;0,A326&lt;='Output Report'!$H$71+1),B325+MC_hist!$M$11/'Output Report'!$H$71,"")</f>
        <v/>
      </c>
      <c r="C326" t="str">
        <f t="shared" si="15"/>
        <v/>
      </c>
      <c r="D326" s="45" t="str">
        <f>IF(A327&gt;0,C326/'Output Report'!$H$70,"")</f>
        <v/>
      </c>
      <c r="E326" s="46" t="str">
        <f>IF(A327&gt;0,SUM($D$2:D326),"")</f>
        <v/>
      </c>
      <c r="F326" t="str">
        <f t="shared" si="16"/>
        <v/>
      </c>
      <c r="G326" t="str">
        <f t="shared" si="17"/>
        <v/>
      </c>
    </row>
    <row r="327" spans="1:7" x14ac:dyDescent="0.3">
      <c r="A327">
        <f>IF('Output Report'!$H$71+2&gt;ROW(A326),ROW(A326),0)</f>
        <v>0</v>
      </c>
      <c r="B327" t="str">
        <f>IF(AND(A327&gt;0,A327&lt;='Output Report'!$H$71+1),B326+MC_hist!$M$11/'Output Report'!$H$71,"")</f>
        <v/>
      </c>
      <c r="C327" t="str">
        <f t="shared" si="15"/>
        <v/>
      </c>
      <c r="D327" s="45" t="str">
        <f>IF(A328&gt;0,C327/'Output Report'!$H$70,"")</f>
        <v/>
      </c>
      <c r="E327" s="46" t="str">
        <f>IF(A328&gt;0,SUM($D$2:D327),"")</f>
        <v/>
      </c>
      <c r="F327" t="str">
        <f t="shared" si="16"/>
        <v/>
      </c>
      <c r="G327" t="str">
        <f t="shared" si="17"/>
        <v/>
      </c>
    </row>
    <row r="328" spans="1:7" x14ac:dyDescent="0.3">
      <c r="A328">
        <f>IF('Output Report'!$H$71+2&gt;ROW(A327),ROW(A327),0)</f>
        <v>0</v>
      </c>
      <c r="B328" t="str">
        <f>IF(AND(A328&gt;0,A328&lt;='Output Report'!$H$71+1),B327+MC_hist!$M$11/'Output Report'!$H$71,"")</f>
        <v/>
      </c>
      <c r="C328" t="str">
        <f t="shared" si="15"/>
        <v/>
      </c>
      <c r="D328" s="45" t="str">
        <f>IF(A329&gt;0,C328/'Output Report'!$H$70,"")</f>
        <v/>
      </c>
      <c r="E328" s="46" t="str">
        <f>IF(A329&gt;0,SUM($D$2:D328),"")</f>
        <v/>
      </c>
      <c r="F328" t="str">
        <f t="shared" si="16"/>
        <v/>
      </c>
      <c r="G328" t="str">
        <f t="shared" si="17"/>
        <v/>
      </c>
    </row>
    <row r="329" spans="1:7" x14ac:dyDescent="0.3">
      <c r="A329">
        <f>IF('Output Report'!$H$71+2&gt;ROW(A328),ROW(A328),0)</f>
        <v>0</v>
      </c>
      <c r="B329" t="str">
        <f>IF(AND(A329&gt;0,A329&lt;='Output Report'!$H$71+1),B328+MC_hist!$M$11/'Output Report'!$H$71,"")</f>
        <v/>
      </c>
      <c r="C329" t="str">
        <f t="shared" si="15"/>
        <v/>
      </c>
      <c r="D329" s="45" t="str">
        <f>IF(A330&gt;0,C329/'Output Report'!$H$70,"")</f>
        <v/>
      </c>
      <c r="E329" s="46" t="str">
        <f>IF(A330&gt;0,SUM($D$2:D329),"")</f>
        <v/>
      </c>
      <c r="F329" t="str">
        <f t="shared" si="16"/>
        <v/>
      </c>
      <c r="G329" t="str">
        <f t="shared" si="17"/>
        <v/>
      </c>
    </row>
    <row r="330" spans="1:7" x14ac:dyDescent="0.3">
      <c r="A330">
        <f>IF('Output Report'!$H$71+2&gt;ROW(A329),ROW(A329),0)</f>
        <v>0</v>
      </c>
      <c r="B330" t="str">
        <f>IF(AND(A330&gt;0,A330&lt;='Output Report'!$H$71+1),B329+MC_hist!$M$11/'Output Report'!$H$71,"")</f>
        <v/>
      </c>
      <c r="C330" t="str">
        <f t="shared" si="15"/>
        <v/>
      </c>
      <c r="D330" s="45" t="str">
        <f>IF(A331&gt;0,C330/'Output Report'!$H$70,"")</f>
        <v/>
      </c>
      <c r="E330" s="46" t="str">
        <f>IF(A331&gt;0,SUM($D$2:D330),"")</f>
        <v/>
      </c>
      <c r="F330" t="str">
        <f t="shared" si="16"/>
        <v/>
      </c>
      <c r="G330" t="str">
        <f t="shared" si="17"/>
        <v/>
      </c>
    </row>
    <row r="331" spans="1:7" x14ac:dyDescent="0.3">
      <c r="A331">
        <f>IF('Output Report'!$H$71+2&gt;ROW(A330),ROW(A330),0)</f>
        <v>0</v>
      </c>
      <c r="B331" t="str">
        <f>IF(AND(A331&gt;0,A331&lt;='Output Report'!$H$71+1),B330+MC_hist!$M$11/'Output Report'!$H$71,"")</f>
        <v/>
      </c>
      <c r="C331" t="str">
        <f t="shared" si="15"/>
        <v/>
      </c>
      <c r="D331" s="45" t="str">
        <f>IF(A332&gt;0,C331/'Output Report'!$H$70,"")</f>
        <v/>
      </c>
      <c r="E331" s="46" t="str">
        <f>IF(A332&gt;0,SUM($D$2:D331),"")</f>
        <v/>
      </c>
      <c r="F331" t="str">
        <f t="shared" si="16"/>
        <v/>
      </c>
      <c r="G331" t="str">
        <f t="shared" si="17"/>
        <v/>
      </c>
    </row>
    <row r="332" spans="1:7" x14ac:dyDescent="0.3">
      <c r="A332">
        <f>IF('Output Report'!$H$71+2&gt;ROW(A331),ROW(A331),0)</f>
        <v>0</v>
      </c>
      <c r="B332" t="str">
        <f>IF(AND(A332&gt;0,A332&lt;='Output Report'!$H$71+1),B331+MC_hist!$M$11/'Output Report'!$H$71,"")</f>
        <v/>
      </c>
      <c r="C332" t="str">
        <f t="shared" si="15"/>
        <v/>
      </c>
      <c r="D332" s="45" t="str">
        <f>IF(A333&gt;0,C332/'Output Report'!$H$70,"")</f>
        <v/>
      </c>
      <c r="E332" s="46" t="str">
        <f>IF(A333&gt;0,SUM($D$2:D332),"")</f>
        <v/>
      </c>
      <c r="F332" t="str">
        <f t="shared" si="16"/>
        <v/>
      </c>
      <c r="G332" t="str">
        <f t="shared" si="17"/>
        <v/>
      </c>
    </row>
    <row r="333" spans="1:7" x14ac:dyDescent="0.3">
      <c r="A333">
        <f>IF('Output Report'!$H$71+2&gt;ROW(A332),ROW(A332),0)</f>
        <v>0</v>
      </c>
      <c r="B333" t="str">
        <f>IF(AND(A333&gt;0,A333&lt;='Output Report'!$H$71+1),B332+MC_hist!$M$11/'Output Report'!$H$71,"")</f>
        <v/>
      </c>
      <c r="C333" t="str">
        <f t="shared" si="15"/>
        <v/>
      </c>
      <c r="D333" s="45" t="str">
        <f>IF(A334&gt;0,C333/'Output Report'!$H$70,"")</f>
        <v/>
      </c>
      <c r="E333" s="46" t="str">
        <f>IF(A334&gt;0,SUM($D$2:D333),"")</f>
        <v/>
      </c>
      <c r="F333" t="str">
        <f t="shared" si="16"/>
        <v/>
      </c>
      <c r="G333" t="str">
        <f t="shared" si="17"/>
        <v/>
      </c>
    </row>
    <row r="334" spans="1:7" x14ac:dyDescent="0.3">
      <c r="A334">
        <f>IF('Output Report'!$H$71+2&gt;ROW(A333),ROW(A333),0)</f>
        <v>0</v>
      </c>
      <c r="B334" t="str">
        <f>IF(AND(A334&gt;0,A334&lt;='Output Report'!$H$71+1),B333+MC_hist!$M$11/'Output Report'!$H$71,"")</f>
        <v/>
      </c>
      <c r="C334" t="str">
        <f t="shared" si="15"/>
        <v/>
      </c>
      <c r="D334" s="45" t="str">
        <f>IF(A335&gt;0,C334/'Output Report'!$H$70,"")</f>
        <v/>
      </c>
      <c r="E334" s="46" t="str">
        <f>IF(A335&gt;0,SUM($D$2:D334),"")</f>
        <v/>
      </c>
      <c r="F334" t="str">
        <f t="shared" si="16"/>
        <v/>
      </c>
      <c r="G334" t="str">
        <f t="shared" si="17"/>
        <v/>
      </c>
    </row>
    <row r="335" spans="1:7" x14ac:dyDescent="0.3">
      <c r="A335">
        <f>IF('Output Report'!$H$71+2&gt;ROW(A334),ROW(A334),0)</f>
        <v>0</v>
      </c>
      <c r="B335" t="str">
        <f>IF(AND(A335&gt;0,A335&lt;='Output Report'!$H$71+1),B334+MC_hist!$M$11/'Output Report'!$H$71,"")</f>
        <v/>
      </c>
      <c r="C335" t="str">
        <f t="shared" si="15"/>
        <v/>
      </c>
      <c r="D335" s="45" t="str">
        <f>IF(A336&gt;0,C335/'Output Report'!$H$70,"")</f>
        <v/>
      </c>
      <c r="E335" s="46" t="str">
        <f>IF(A336&gt;0,SUM($D$2:D335),"")</f>
        <v/>
      </c>
      <c r="F335" t="str">
        <f t="shared" si="16"/>
        <v/>
      </c>
      <c r="G335" t="str">
        <f t="shared" si="17"/>
        <v/>
      </c>
    </row>
    <row r="336" spans="1:7" x14ac:dyDescent="0.3">
      <c r="A336">
        <f>IF('Output Report'!$H$71+2&gt;ROW(A335),ROW(A335),0)</f>
        <v>0</v>
      </c>
      <c r="B336" t="str">
        <f>IF(AND(A336&gt;0,A336&lt;='Output Report'!$H$71+1),B335+MC_hist!$M$11/'Output Report'!$H$71,"")</f>
        <v/>
      </c>
      <c r="C336" t="str">
        <f t="shared" si="15"/>
        <v/>
      </c>
      <c r="D336" s="45" t="str">
        <f>IF(A337&gt;0,C336/'Output Report'!$H$70,"")</f>
        <v/>
      </c>
      <c r="E336" s="46" t="str">
        <f>IF(A337&gt;0,SUM($D$2:D336),"")</f>
        <v/>
      </c>
      <c r="F336" t="str">
        <f t="shared" si="16"/>
        <v/>
      </c>
      <c r="G336" t="str">
        <f t="shared" si="17"/>
        <v/>
      </c>
    </row>
    <row r="337" spans="1:7" x14ac:dyDescent="0.3">
      <c r="A337">
        <f>IF('Output Report'!$H$71+2&gt;ROW(A336),ROW(A336),0)</f>
        <v>0</v>
      </c>
      <c r="B337" t="str">
        <f>IF(AND(A337&gt;0,A337&lt;='Output Report'!$H$71+1),B336+MC_hist!$M$11/'Output Report'!$H$71,"")</f>
        <v/>
      </c>
      <c r="C337" t="str">
        <f t="shared" si="15"/>
        <v/>
      </c>
      <c r="D337" s="45" t="str">
        <f>IF(A338&gt;0,C337/'Output Report'!$H$70,"")</f>
        <v/>
      </c>
      <c r="E337" s="46" t="str">
        <f>IF(A338&gt;0,SUM($D$2:D337),"")</f>
        <v/>
      </c>
      <c r="F337" t="str">
        <f t="shared" si="16"/>
        <v/>
      </c>
      <c r="G337" t="str">
        <f t="shared" si="17"/>
        <v/>
      </c>
    </row>
    <row r="338" spans="1:7" x14ac:dyDescent="0.3">
      <c r="A338">
        <f>IF('Output Report'!$H$71+2&gt;ROW(A337),ROW(A337),0)</f>
        <v>0</v>
      </c>
      <c r="B338" t="str">
        <f>IF(AND(A338&gt;0,A338&lt;='Output Report'!$H$71+1),B337+MC_hist!$M$11/'Output Report'!$H$71,"")</f>
        <v/>
      </c>
      <c r="C338" t="str">
        <f t="shared" si="15"/>
        <v/>
      </c>
      <c r="D338" s="45" t="str">
        <f>IF(A339&gt;0,C338/'Output Report'!$H$70,"")</f>
        <v/>
      </c>
      <c r="E338" s="46" t="str">
        <f>IF(A339&gt;0,SUM($D$2:D338),"")</f>
        <v/>
      </c>
      <c r="F338" t="str">
        <f t="shared" si="16"/>
        <v/>
      </c>
      <c r="G338" t="str">
        <f t="shared" si="17"/>
        <v/>
      </c>
    </row>
    <row r="339" spans="1:7" x14ac:dyDescent="0.3">
      <c r="A339">
        <f>IF('Output Report'!$H$71+2&gt;ROW(A338),ROW(A338),0)</f>
        <v>0</v>
      </c>
      <c r="B339" t="str">
        <f>IF(AND(A339&gt;0,A339&lt;='Output Report'!$H$71+1),B338+MC_hist!$M$11/'Output Report'!$H$71,"")</f>
        <v/>
      </c>
      <c r="C339" t="str">
        <f t="shared" si="15"/>
        <v/>
      </c>
      <c r="D339" s="45" t="str">
        <f>IF(A340&gt;0,C339/'Output Report'!$H$70,"")</f>
        <v/>
      </c>
      <c r="E339" s="46" t="str">
        <f>IF(A340&gt;0,SUM($D$2:D339),"")</f>
        <v/>
      </c>
      <c r="F339" t="str">
        <f t="shared" si="16"/>
        <v/>
      </c>
      <c r="G339" t="str">
        <f t="shared" si="17"/>
        <v/>
      </c>
    </row>
    <row r="340" spans="1:7" x14ac:dyDescent="0.3">
      <c r="A340">
        <f>IF('Output Report'!$H$71+2&gt;ROW(A339),ROW(A339),0)</f>
        <v>0</v>
      </c>
      <c r="B340" t="str">
        <f>IF(AND(A340&gt;0,A340&lt;='Output Report'!$H$71+1),B339+MC_hist!$M$11/'Output Report'!$H$71,"")</f>
        <v/>
      </c>
      <c r="C340" t="str">
        <f t="shared" si="15"/>
        <v/>
      </c>
      <c r="D340" s="45" t="str">
        <f>IF(A341&gt;0,C340/'Output Report'!$H$70,"")</f>
        <v/>
      </c>
      <c r="E340" s="46" t="str">
        <f>IF(A341&gt;0,SUM($D$2:D340),"")</f>
        <v/>
      </c>
      <c r="F340" t="str">
        <f t="shared" si="16"/>
        <v/>
      </c>
      <c r="G340" t="str">
        <f t="shared" si="17"/>
        <v/>
      </c>
    </row>
    <row r="341" spans="1:7" x14ac:dyDescent="0.3">
      <c r="A341">
        <f>IF('Output Report'!$H$71+2&gt;ROW(A340),ROW(A340),0)</f>
        <v>0</v>
      </c>
      <c r="B341" t="str">
        <f>IF(AND(A341&gt;0,A341&lt;='Output Report'!$H$71+1),B340+MC_hist!$M$11/'Output Report'!$H$71,"")</f>
        <v/>
      </c>
      <c r="C341" t="str">
        <f t="shared" si="15"/>
        <v/>
      </c>
      <c r="D341" s="45" t="str">
        <f>IF(A342&gt;0,C341/'Output Report'!$H$70,"")</f>
        <v/>
      </c>
      <c r="E341" s="46" t="str">
        <f>IF(A342&gt;0,SUM($D$2:D341),"")</f>
        <v/>
      </c>
      <c r="F341" t="str">
        <f t="shared" si="16"/>
        <v/>
      </c>
      <c r="G341" t="str">
        <f t="shared" si="17"/>
        <v/>
      </c>
    </row>
    <row r="342" spans="1:7" x14ac:dyDescent="0.3">
      <c r="A342">
        <f>IF('Output Report'!$H$71+2&gt;ROW(A341),ROW(A341),0)</f>
        <v>0</v>
      </c>
      <c r="B342" t="str">
        <f>IF(AND(A342&gt;0,A342&lt;='Output Report'!$H$71+1),B341+MC_hist!$M$11/'Output Report'!$H$71,"")</f>
        <v/>
      </c>
      <c r="C342" t="str">
        <f t="shared" si="15"/>
        <v/>
      </c>
      <c r="D342" s="45" t="str">
        <f>IF(A343&gt;0,C342/'Output Report'!$H$70,"")</f>
        <v/>
      </c>
      <c r="E342" s="46" t="str">
        <f>IF(A343&gt;0,SUM($D$2:D342),"")</f>
        <v/>
      </c>
      <c r="F342" t="str">
        <f t="shared" si="16"/>
        <v/>
      </c>
      <c r="G342" t="str">
        <f t="shared" si="17"/>
        <v/>
      </c>
    </row>
    <row r="343" spans="1:7" x14ac:dyDescent="0.3">
      <c r="A343">
        <f>IF('Output Report'!$H$71+2&gt;ROW(A342),ROW(A342),0)</f>
        <v>0</v>
      </c>
      <c r="B343" t="str">
        <f>IF(AND(A343&gt;0,A343&lt;='Output Report'!$H$71+1),B342+MC_hist!$M$11/'Output Report'!$H$71,"")</f>
        <v/>
      </c>
      <c r="C343" t="str">
        <f t="shared" si="15"/>
        <v/>
      </c>
      <c r="D343" s="45" t="str">
        <f>IF(A344&gt;0,C343/'Output Report'!$H$70,"")</f>
        <v/>
      </c>
      <c r="E343" s="46" t="str">
        <f>IF(A344&gt;0,SUM($D$2:D343),"")</f>
        <v/>
      </c>
      <c r="F343" t="str">
        <f t="shared" si="16"/>
        <v/>
      </c>
      <c r="G343" t="str">
        <f t="shared" si="17"/>
        <v/>
      </c>
    </row>
    <row r="344" spans="1:7" x14ac:dyDescent="0.3">
      <c r="A344">
        <f>IF('Output Report'!$H$71+2&gt;ROW(A343),ROW(A343),0)</f>
        <v>0</v>
      </c>
      <c r="B344" t="str">
        <f>IF(AND(A344&gt;0,A344&lt;='Output Report'!$H$71+1),B343+MC_hist!$M$11/'Output Report'!$H$71,"")</f>
        <v/>
      </c>
      <c r="C344" t="str">
        <f t="shared" si="15"/>
        <v/>
      </c>
      <c r="D344" s="45" t="str">
        <f>IF(A345&gt;0,C344/'Output Report'!$H$70,"")</f>
        <v/>
      </c>
      <c r="E344" s="46" t="str">
        <f>IF(A345&gt;0,SUM($D$2:D344),"")</f>
        <v/>
      </c>
      <c r="F344" t="str">
        <f t="shared" si="16"/>
        <v/>
      </c>
      <c r="G344" t="str">
        <f t="shared" si="17"/>
        <v/>
      </c>
    </row>
    <row r="345" spans="1:7" x14ac:dyDescent="0.3">
      <c r="A345">
        <f>IF('Output Report'!$H$71+2&gt;ROW(A344),ROW(A344),0)</f>
        <v>0</v>
      </c>
      <c r="B345" t="str">
        <f>IF(AND(A345&gt;0,A345&lt;='Output Report'!$H$71+1),B344+MC_hist!$M$11/'Output Report'!$H$71,"")</f>
        <v/>
      </c>
      <c r="C345" t="str">
        <f t="shared" si="15"/>
        <v/>
      </c>
      <c r="D345" s="45" t="str">
        <f>IF(A346&gt;0,C345/'Output Report'!$H$70,"")</f>
        <v/>
      </c>
      <c r="E345" s="46" t="str">
        <f>IF(A346&gt;0,SUM($D$2:D345),"")</f>
        <v/>
      </c>
      <c r="F345" t="str">
        <f t="shared" si="16"/>
        <v/>
      </c>
      <c r="G345" t="str">
        <f t="shared" si="17"/>
        <v/>
      </c>
    </row>
    <row r="346" spans="1:7" x14ac:dyDescent="0.3">
      <c r="A346">
        <f>IF('Output Report'!$H$71+2&gt;ROW(A345),ROW(A345),0)</f>
        <v>0</v>
      </c>
      <c r="B346" t="str">
        <f>IF(AND(A346&gt;0,A346&lt;='Output Report'!$H$71+1),B345+MC_hist!$M$11/'Output Report'!$H$71,"")</f>
        <v/>
      </c>
      <c r="C346" t="str">
        <f t="shared" si="15"/>
        <v/>
      </c>
      <c r="D346" s="45" t="str">
        <f>IF(A347&gt;0,C346/'Output Report'!$H$70,"")</f>
        <v/>
      </c>
      <c r="E346" s="46" t="str">
        <f>IF(A347&gt;0,SUM($D$2:D346),"")</f>
        <v/>
      </c>
      <c r="F346" t="str">
        <f t="shared" si="16"/>
        <v/>
      </c>
      <c r="G346" t="str">
        <f t="shared" si="17"/>
        <v/>
      </c>
    </row>
    <row r="347" spans="1:7" x14ac:dyDescent="0.3">
      <c r="A347">
        <f>IF('Output Report'!$H$71+2&gt;ROW(A346),ROW(A346),0)</f>
        <v>0</v>
      </c>
      <c r="B347" t="str">
        <f>IF(AND(A347&gt;0,A347&lt;='Output Report'!$H$71+1),B346+MC_hist!$M$11/'Output Report'!$H$71,"")</f>
        <v/>
      </c>
      <c r="C347" t="str">
        <f t="shared" si="15"/>
        <v/>
      </c>
      <c r="D347" s="45" t="str">
        <f>IF(A348&gt;0,C347/'Output Report'!$H$70,"")</f>
        <v/>
      </c>
      <c r="E347" s="46" t="str">
        <f>IF(A348&gt;0,SUM($D$2:D347),"")</f>
        <v/>
      </c>
      <c r="F347" t="str">
        <f t="shared" si="16"/>
        <v/>
      </c>
      <c r="G347" t="str">
        <f t="shared" si="17"/>
        <v/>
      </c>
    </row>
    <row r="348" spans="1:7" x14ac:dyDescent="0.3">
      <c r="A348">
        <f>IF('Output Report'!$H$71+2&gt;ROW(A347),ROW(A347),0)</f>
        <v>0</v>
      </c>
      <c r="B348" t="str">
        <f>IF(AND(A348&gt;0,A348&lt;='Output Report'!$H$71+1),B347+MC_hist!$M$11/'Output Report'!$H$71,"")</f>
        <v/>
      </c>
      <c r="C348" t="str">
        <f t="shared" si="15"/>
        <v/>
      </c>
      <c r="D348" s="45" t="str">
        <f>IF(A349&gt;0,C348/'Output Report'!$H$70,"")</f>
        <v/>
      </c>
      <c r="E348" s="46" t="str">
        <f>IF(A349&gt;0,SUM($D$2:D348),"")</f>
        <v/>
      </c>
      <c r="F348" t="str">
        <f t="shared" si="16"/>
        <v/>
      </c>
      <c r="G348" t="str">
        <f t="shared" si="17"/>
        <v/>
      </c>
    </row>
    <row r="349" spans="1:7" x14ac:dyDescent="0.3">
      <c r="A349">
        <f>IF('Output Report'!$H$71+2&gt;ROW(A348),ROW(A348),0)</f>
        <v>0</v>
      </c>
      <c r="B349" t="str">
        <f>IF(AND(A349&gt;0,A349&lt;='Output Report'!$H$71+1),B348+MC_hist!$M$11/'Output Report'!$H$71,"")</f>
        <v/>
      </c>
      <c r="C349" t="str">
        <f t="shared" si="15"/>
        <v/>
      </c>
      <c r="D349" s="45" t="str">
        <f>IF(A350&gt;0,C349/'Output Report'!$H$70,"")</f>
        <v/>
      </c>
      <c r="E349" s="46" t="str">
        <f>IF(A350&gt;0,SUM($D$2:D349),"")</f>
        <v/>
      </c>
      <c r="F349" t="str">
        <f t="shared" si="16"/>
        <v/>
      </c>
      <c r="G349" t="str">
        <f t="shared" si="17"/>
        <v/>
      </c>
    </row>
    <row r="350" spans="1:7" x14ac:dyDescent="0.3">
      <c r="A350">
        <f>IF('Output Report'!$H$71+2&gt;ROW(A349),ROW(A349),0)</f>
        <v>0</v>
      </c>
      <c r="B350" t="str">
        <f>IF(AND(A350&gt;0,A350&lt;='Output Report'!$H$71+1),B349+MC_hist!$M$11/'Output Report'!$H$71,"")</f>
        <v/>
      </c>
      <c r="C350" t="str">
        <f t="shared" si="15"/>
        <v/>
      </c>
      <c r="D350" s="45" t="str">
        <f>IF(A351&gt;0,C350/'Output Report'!$H$70,"")</f>
        <v/>
      </c>
      <c r="E350" s="46" t="str">
        <f>IF(A351&gt;0,SUM($D$2:D350),"")</f>
        <v/>
      </c>
      <c r="F350" t="str">
        <f t="shared" si="16"/>
        <v/>
      </c>
      <c r="G350" t="str">
        <f t="shared" si="17"/>
        <v/>
      </c>
    </row>
    <row r="351" spans="1:7" x14ac:dyDescent="0.3">
      <c r="A351">
        <f>IF('Output Report'!$H$71+2&gt;ROW(A350),ROW(A350),0)</f>
        <v>0</v>
      </c>
      <c r="B351" t="str">
        <f>IF(AND(A351&gt;0,A351&lt;='Output Report'!$H$71+1),B350+MC_hist!$M$11/'Output Report'!$H$71,"")</f>
        <v/>
      </c>
      <c r="C351" t="str">
        <f t="shared" si="15"/>
        <v/>
      </c>
      <c r="D351" s="45" t="str">
        <f>IF(A352&gt;0,C351/'Output Report'!$H$70,"")</f>
        <v/>
      </c>
      <c r="E351" s="46" t="str">
        <f>IF(A352&gt;0,SUM($D$2:D351),"")</f>
        <v/>
      </c>
      <c r="F351" t="str">
        <f t="shared" si="16"/>
        <v/>
      </c>
      <c r="G351" t="str">
        <f t="shared" si="17"/>
        <v/>
      </c>
    </row>
    <row r="352" spans="1:7" x14ac:dyDescent="0.3">
      <c r="A352">
        <f>IF('Output Report'!$H$71+2&gt;ROW(A351),ROW(A351),0)</f>
        <v>0</v>
      </c>
      <c r="B352" t="str">
        <f>IF(AND(A352&gt;0,A352&lt;='Output Report'!$H$71+1),B351+MC_hist!$M$11/'Output Report'!$H$71,"")</f>
        <v/>
      </c>
      <c r="C352" t="str">
        <f t="shared" si="15"/>
        <v/>
      </c>
      <c r="D352" s="45" t="str">
        <f>IF(A353&gt;0,C352/'Output Report'!$H$70,"")</f>
        <v/>
      </c>
      <c r="E352" s="46" t="str">
        <f>IF(A353&gt;0,SUM($D$2:D352),"")</f>
        <v/>
      </c>
      <c r="F352" t="str">
        <f t="shared" si="16"/>
        <v/>
      </c>
      <c r="G352" t="str">
        <f t="shared" si="17"/>
        <v/>
      </c>
    </row>
    <row r="353" spans="1:7" x14ac:dyDescent="0.3">
      <c r="A353">
        <f>IF('Output Report'!$H$71+2&gt;ROW(A352),ROW(A352),0)</f>
        <v>0</v>
      </c>
      <c r="B353" t="str">
        <f>IF(AND(A353&gt;0,A353&lt;='Output Report'!$H$71+1),B352+MC_hist!$M$11/'Output Report'!$H$71,"")</f>
        <v/>
      </c>
      <c r="C353" t="str">
        <f t="shared" si="15"/>
        <v/>
      </c>
      <c r="D353" s="45" t="str">
        <f>IF(A354&gt;0,C353/'Output Report'!$H$70,"")</f>
        <v/>
      </c>
      <c r="E353" s="46" t="str">
        <f>IF(A354&gt;0,SUM($D$2:D353),"")</f>
        <v/>
      </c>
      <c r="F353" t="str">
        <f t="shared" si="16"/>
        <v/>
      </c>
      <c r="G353" t="str">
        <f t="shared" si="17"/>
        <v/>
      </c>
    </row>
    <row r="354" spans="1:7" x14ac:dyDescent="0.3">
      <c r="A354">
        <f>IF('Output Report'!$H$71+2&gt;ROW(A353),ROW(A353),0)</f>
        <v>0</v>
      </c>
      <c r="B354" t="str">
        <f>IF(AND(A354&gt;0,A354&lt;='Output Report'!$H$71+1),B353+MC_hist!$M$11/'Output Report'!$H$71,"")</f>
        <v/>
      </c>
      <c r="C354" t="str">
        <f t="shared" si="15"/>
        <v/>
      </c>
      <c r="D354" s="45" t="str">
        <f>IF(A355&gt;0,C354/'Output Report'!$H$70,"")</f>
        <v/>
      </c>
      <c r="E354" s="46" t="str">
        <f>IF(A355&gt;0,SUM($D$2:D354),"")</f>
        <v/>
      </c>
      <c r="F354" t="str">
        <f t="shared" si="16"/>
        <v/>
      </c>
      <c r="G354" t="str">
        <f t="shared" si="17"/>
        <v/>
      </c>
    </row>
    <row r="355" spans="1:7" x14ac:dyDescent="0.3">
      <c r="A355">
        <f>IF('Output Report'!$H$71+2&gt;ROW(A354),ROW(A354),0)</f>
        <v>0</v>
      </c>
      <c r="B355" t="str">
        <f>IF(AND(A355&gt;0,A355&lt;='Output Report'!$H$71+1),B354+MC_hist!$M$11/'Output Report'!$H$71,"")</f>
        <v/>
      </c>
      <c r="C355" t="str">
        <f t="shared" si="15"/>
        <v/>
      </c>
      <c r="D355" s="45" t="str">
        <f>IF(A356&gt;0,C355/'Output Report'!$H$70,"")</f>
        <v/>
      </c>
      <c r="E355" s="46" t="str">
        <f>IF(A356&gt;0,SUM($D$2:D355),"")</f>
        <v/>
      </c>
      <c r="F355" t="str">
        <f t="shared" si="16"/>
        <v/>
      </c>
      <c r="G355" t="str">
        <f t="shared" si="17"/>
        <v/>
      </c>
    </row>
    <row r="356" spans="1:7" x14ac:dyDescent="0.3">
      <c r="A356">
        <f>IF('Output Report'!$H$71+2&gt;ROW(A355),ROW(A355),0)</f>
        <v>0</v>
      </c>
      <c r="B356" t="str">
        <f>IF(AND(A356&gt;0,A356&lt;='Output Report'!$H$71+1),B355+MC_hist!$M$11/'Output Report'!$H$71,"")</f>
        <v/>
      </c>
      <c r="C356" t="str">
        <f t="shared" si="15"/>
        <v/>
      </c>
      <c r="D356" s="45" t="str">
        <f>IF(A357&gt;0,C356/'Output Report'!$H$70,"")</f>
        <v/>
      </c>
      <c r="E356" s="46" t="str">
        <f>IF(A357&gt;0,SUM($D$2:D356),"")</f>
        <v/>
      </c>
      <c r="F356" t="str">
        <f t="shared" si="16"/>
        <v/>
      </c>
      <c r="G356" t="str">
        <f t="shared" si="17"/>
        <v/>
      </c>
    </row>
    <row r="357" spans="1:7" x14ac:dyDescent="0.3">
      <c r="A357">
        <f>IF('Output Report'!$H$71+2&gt;ROW(A356),ROW(A356),0)</f>
        <v>0</v>
      </c>
      <c r="B357" t="str">
        <f>IF(AND(A357&gt;0,A357&lt;='Output Report'!$H$71+1),B356+MC_hist!$M$11/'Output Report'!$H$71,"")</f>
        <v/>
      </c>
      <c r="C357" t="str">
        <f t="shared" si="15"/>
        <v/>
      </c>
      <c r="D357" s="45" t="str">
        <f>IF(A358&gt;0,C357/'Output Report'!$H$70,"")</f>
        <v/>
      </c>
      <c r="E357" s="46" t="str">
        <f>IF(A358&gt;0,SUM($D$2:D357),"")</f>
        <v/>
      </c>
      <c r="F357" t="str">
        <f t="shared" si="16"/>
        <v/>
      </c>
      <c r="G357" t="str">
        <f t="shared" si="17"/>
        <v/>
      </c>
    </row>
    <row r="358" spans="1:7" x14ac:dyDescent="0.3">
      <c r="A358">
        <f>IF('Output Report'!$H$71+2&gt;ROW(A357),ROW(A357),0)</f>
        <v>0</v>
      </c>
      <c r="B358" t="str">
        <f>IF(AND(A358&gt;0,A358&lt;='Output Report'!$H$71+1),B357+MC_hist!$M$11/'Output Report'!$H$71,"")</f>
        <v/>
      </c>
      <c r="C358" t="str">
        <f t="shared" si="15"/>
        <v/>
      </c>
      <c r="D358" s="45" t="str">
        <f>IF(A359&gt;0,C358/'Output Report'!$H$70,"")</f>
        <v/>
      </c>
      <c r="E358" s="46" t="str">
        <f>IF(A359&gt;0,SUM($D$2:D358),"")</f>
        <v/>
      </c>
      <c r="F358" t="str">
        <f t="shared" si="16"/>
        <v/>
      </c>
      <c r="G358" t="str">
        <f t="shared" si="17"/>
        <v/>
      </c>
    </row>
    <row r="359" spans="1:7" x14ac:dyDescent="0.3">
      <c r="A359">
        <f>IF('Output Report'!$H$71+2&gt;ROW(A358),ROW(A358),0)</f>
        <v>0</v>
      </c>
      <c r="B359" t="str">
        <f>IF(AND(A359&gt;0,A359&lt;='Output Report'!$H$71+1),B358+MC_hist!$M$11/'Output Report'!$H$71,"")</f>
        <v/>
      </c>
      <c r="C359" t="str">
        <f t="shared" si="15"/>
        <v/>
      </c>
      <c r="D359" s="45" t="str">
        <f>IF(A360&gt;0,C359/'Output Report'!$H$70,"")</f>
        <v/>
      </c>
      <c r="E359" s="46" t="str">
        <f>IF(A360&gt;0,SUM($D$2:D359),"")</f>
        <v/>
      </c>
      <c r="F359" t="str">
        <f t="shared" si="16"/>
        <v/>
      </c>
      <c r="G359" t="str">
        <f t="shared" si="17"/>
        <v/>
      </c>
    </row>
    <row r="360" spans="1:7" x14ac:dyDescent="0.3">
      <c r="A360">
        <f>IF('Output Report'!$H$71+2&gt;ROW(A359),ROW(A359),0)</f>
        <v>0</v>
      </c>
      <c r="B360" t="str">
        <f>IF(AND(A360&gt;0,A360&lt;='Output Report'!$H$71+1),B359+MC_hist!$M$11/'Output Report'!$H$71,"")</f>
        <v/>
      </c>
      <c r="C360" t="str">
        <f t="shared" si="15"/>
        <v/>
      </c>
      <c r="D360" s="45" t="str">
        <f>IF(A361&gt;0,C360/'Output Report'!$H$70,"")</f>
        <v/>
      </c>
      <c r="E360" s="46" t="str">
        <f>IF(A361&gt;0,SUM($D$2:D360),"")</f>
        <v/>
      </c>
      <c r="F360" t="str">
        <f t="shared" si="16"/>
        <v/>
      </c>
      <c r="G360" t="str">
        <f t="shared" si="17"/>
        <v/>
      </c>
    </row>
    <row r="361" spans="1:7" x14ac:dyDescent="0.3">
      <c r="A361">
        <f>IF('Output Report'!$H$71+2&gt;ROW(A360),ROW(A360),0)</f>
        <v>0</v>
      </c>
      <c r="B361" t="str">
        <f>IF(AND(A361&gt;0,A361&lt;='Output Report'!$H$71+1),B360+MC_hist!$M$11/'Output Report'!$H$71,"")</f>
        <v/>
      </c>
      <c r="C361" t="str">
        <f t="shared" si="15"/>
        <v/>
      </c>
      <c r="D361" s="45" t="str">
        <f>IF(A362&gt;0,C361/'Output Report'!$H$70,"")</f>
        <v/>
      </c>
      <c r="E361" s="46" t="str">
        <f>IF(A362&gt;0,SUM($D$2:D361),"")</f>
        <v/>
      </c>
      <c r="F361" t="str">
        <f t="shared" si="16"/>
        <v/>
      </c>
      <c r="G361" t="str">
        <f t="shared" si="17"/>
        <v/>
      </c>
    </row>
    <row r="362" spans="1:7" x14ac:dyDescent="0.3">
      <c r="A362">
        <f>IF('Output Report'!$H$71+2&gt;ROW(A361),ROW(A361),0)</f>
        <v>0</v>
      </c>
      <c r="B362" t="str">
        <f>IF(AND(A362&gt;0,A362&lt;='Output Report'!$H$71+1),B361+MC_hist!$M$11/'Output Report'!$H$71,"")</f>
        <v/>
      </c>
      <c r="C362" t="str">
        <f t="shared" si="15"/>
        <v/>
      </c>
      <c r="D362" s="45" t="str">
        <f>IF(A363&gt;0,C362/'Output Report'!$H$70,"")</f>
        <v/>
      </c>
      <c r="E362" s="46" t="str">
        <f>IF(A363&gt;0,SUM($D$2:D362),"")</f>
        <v/>
      </c>
      <c r="F362" t="str">
        <f t="shared" si="16"/>
        <v/>
      </c>
      <c r="G362" t="str">
        <f t="shared" si="17"/>
        <v/>
      </c>
    </row>
    <row r="363" spans="1:7" x14ac:dyDescent="0.3">
      <c r="A363">
        <f>IF('Output Report'!$H$71+2&gt;ROW(A362),ROW(A362),0)</f>
        <v>0</v>
      </c>
      <c r="B363" t="str">
        <f>IF(AND(A363&gt;0,A363&lt;='Output Report'!$H$71+1),B362+MC_hist!$M$11/'Output Report'!$H$71,"")</f>
        <v/>
      </c>
      <c r="C363" t="str">
        <f t="shared" si="15"/>
        <v/>
      </c>
      <c r="D363" s="45" t="str">
        <f>IF(A364&gt;0,C363/'Output Report'!$H$70,"")</f>
        <v/>
      </c>
      <c r="E363" s="46" t="str">
        <f>IF(A364&gt;0,SUM($D$2:D363),"")</f>
        <v/>
      </c>
      <c r="F363" t="str">
        <f t="shared" si="16"/>
        <v/>
      </c>
      <c r="G363" t="str">
        <f t="shared" si="17"/>
        <v/>
      </c>
    </row>
    <row r="364" spans="1:7" x14ac:dyDescent="0.3">
      <c r="A364">
        <f>IF('Output Report'!$H$71+2&gt;ROW(A363),ROW(A363),0)</f>
        <v>0</v>
      </c>
      <c r="B364" t="str">
        <f>IF(AND(A364&gt;0,A364&lt;='Output Report'!$H$71+1),B363+MC_hist!$M$11/'Output Report'!$H$71,"")</f>
        <v/>
      </c>
      <c r="C364" t="str">
        <f t="shared" si="15"/>
        <v/>
      </c>
      <c r="D364" s="45" t="str">
        <f>IF(A365&gt;0,C364/'Output Report'!$H$70,"")</f>
        <v/>
      </c>
      <c r="E364" s="46" t="str">
        <f>IF(A365&gt;0,SUM($D$2:D364),"")</f>
        <v/>
      </c>
      <c r="F364" t="str">
        <f t="shared" si="16"/>
        <v/>
      </c>
      <c r="G364" t="str">
        <f t="shared" si="17"/>
        <v/>
      </c>
    </row>
    <row r="365" spans="1:7" x14ac:dyDescent="0.3">
      <c r="A365">
        <f>IF('Output Report'!$H$71+2&gt;ROW(A364),ROW(A364),0)</f>
        <v>0</v>
      </c>
      <c r="B365" t="str">
        <f>IF(AND(A365&gt;0,A365&lt;='Output Report'!$H$71+1),B364+MC_hist!$M$11/'Output Report'!$H$71,"")</f>
        <v/>
      </c>
      <c r="C365" t="str">
        <f t="shared" si="15"/>
        <v/>
      </c>
      <c r="D365" s="45" t="str">
        <f>IF(A366&gt;0,C365/'Output Report'!$H$70,"")</f>
        <v/>
      </c>
      <c r="E365" s="46" t="str">
        <f>IF(A366&gt;0,SUM($D$2:D365),"")</f>
        <v/>
      </c>
      <c r="F365" t="str">
        <f t="shared" si="16"/>
        <v/>
      </c>
      <c r="G365" t="str">
        <f t="shared" si="17"/>
        <v/>
      </c>
    </row>
    <row r="366" spans="1:7" x14ac:dyDescent="0.3">
      <c r="A366">
        <f>IF('Output Report'!$H$71+2&gt;ROW(A365),ROW(A365),0)</f>
        <v>0</v>
      </c>
      <c r="B366" t="str">
        <f>IF(AND(A366&gt;0,A366&lt;='Output Report'!$H$71+1),B365+MC_hist!$M$11/'Output Report'!$H$71,"")</f>
        <v/>
      </c>
      <c r="C366" t="str">
        <f t="shared" ref="C366:C429" si="18">IF(A367&gt;0,COUNTIFS(data_sim,"&gt;"&amp;B366,data_sim,"&lt;="&amp;B367),"")</f>
        <v/>
      </c>
      <c r="D366" s="45" t="str">
        <f>IF(A367&gt;0,C366/'Output Report'!$H$70,"")</f>
        <v/>
      </c>
      <c r="E366" s="46" t="str">
        <f>IF(A367&gt;0,SUM($D$2:D366),"")</f>
        <v/>
      </c>
      <c r="F366" t="str">
        <f t="shared" ref="F366:F429" si="19">IF(B366&lt;=0,D366,"")</f>
        <v/>
      </c>
      <c r="G366" t="str">
        <f t="shared" si="17"/>
        <v/>
      </c>
    </row>
    <row r="367" spans="1:7" x14ac:dyDescent="0.3">
      <c r="A367">
        <f>IF('Output Report'!$H$71+2&gt;ROW(A366),ROW(A366),0)</f>
        <v>0</v>
      </c>
      <c r="B367" t="str">
        <f>IF(AND(A367&gt;0,A367&lt;='Output Report'!$H$71+1),B366+MC_hist!$M$11/'Output Report'!$H$71,"")</f>
        <v/>
      </c>
      <c r="C367" t="str">
        <f t="shared" si="18"/>
        <v/>
      </c>
      <c r="D367" s="45" t="str">
        <f>IF(A368&gt;0,C367/'Output Report'!$H$70,"")</f>
        <v/>
      </c>
      <c r="E367" s="46" t="str">
        <f>IF(A368&gt;0,SUM($D$2:D367),"")</f>
        <v/>
      </c>
      <c r="F367" t="str">
        <f t="shared" si="19"/>
        <v/>
      </c>
      <c r="G367" t="str">
        <f t="shared" si="17"/>
        <v/>
      </c>
    </row>
    <row r="368" spans="1:7" x14ac:dyDescent="0.3">
      <c r="A368">
        <f>IF('Output Report'!$H$71+2&gt;ROW(A367),ROW(A367),0)</f>
        <v>0</v>
      </c>
      <c r="B368" t="str">
        <f>IF(AND(A368&gt;0,A368&lt;='Output Report'!$H$71+1),B367+MC_hist!$M$11/'Output Report'!$H$71,"")</f>
        <v/>
      </c>
      <c r="C368" t="str">
        <f t="shared" si="18"/>
        <v/>
      </c>
      <c r="D368" s="45" t="str">
        <f>IF(A369&gt;0,C368/'Output Report'!$H$70,"")</f>
        <v/>
      </c>
      <c r="E368" s="46" t="str">
        <f>IF(A369&gt;0,SUM($D$2:D368),"")</f>
        <v/>
      </c>
      <c r="F368" t="str">
        <f t="shared" si="19"/>
        <v/>
      </c>
      <c r="G368" t="str">
        <f t="shared" si="17"/>
        <v/>
      </c>
    </row>
    <row r="369" spans="1:7" x14ac:dyDescent="0.3">
      <c r="A369">
        <f>IF('Output Report'!$H$71+2&gt;ROW(A368),ROW(A368),0)</f>
        <v>0</v>
      </c>
      <c r="B369" t="str">
        <f>IF(AND(A369&gt;0,A369&lt;='Output Report'!$H$71+1),B368+MC_hist!$M$11/'Output Report'!$H$71,"")</f>
        <v/>
      </c>
      <c r="C369" t="str">
        <f t="shared" si="18"/>
        <v/>
      </c>
      <c r="D369" s="45" t="str">
        <f>IF(A370&gt;0,C369/'Output Report'!$H$70,"")</f>
        <v/>
      </c>
      <c r="E369" s="46" t="str">
        <f>IF(A370&gt;0,SUM($D$2:D369),"")</f>
        <v/>
      </c>
      <c r="F369" t="str">
        <f t="shared" si="19"/>
        <v/>
      </c>
      <c r="G369" t="str">
        <f t="shared" si="17"/>
        <v/>
      </c>
    </row>
    <row r="370" spans="1:7" x14ac:dyDescent="0.3">
      <c r="A370">
        <f>IF('Output Report'!$H$71+2&gt;ROW(A369),ROW(A369),0)</f>
        <v>0</v>
      </c>
      <c r="B370" t="str">
        <f>IF(AND(A370&gt;0,A370&lt;='Output Report'!$H$71+1),B369+MC_hist!$M$11/'Output Report'!$H$71,"")</f>
        <v/>
      </c>
      <c r="C370" t="str">
        <f t="shared" si="18"/>
        <v/>
      </c>
      <c r="D370" s="45" t="str">
        <f>IF(A371&gt;0,C370/'Output Report'!$H$70,"")</f>
        <v/>
      </c>
      <c r="E370" s="46" t="str">
        <f>IF(A371&gt;0,SUM($D$2:D370),"")</f>
        <v/>
      </c>
      <c r="F370" t="str">
        <f t="shared" si="19"/>
        <v/>
      </c>
      <c r="G370" t="str">
        <f t="shared" si="17"/>
        <v/>
      </c>
    </row>
    <row r="371" spans="1:7" x14ac:dyDescent="0.3">
      <c r="A371">
        <f>IF('Output Report'!$H$71+2&gt;ROW(A370),ROW(A370),0)</f>
        <v>0</v>
      </c>
      <c r="B371" t="str">
        <f>IF(AND(A371&gt;0,A371&lt;='Output Report'!$H$71+1),B370+MC_hist!$M$11/'Output Report'!$H$71,"")</f>
        <v/>
      </c>
      <c r="C371" t="str">
        <f t="shared" si="18"/>
        <v/>
      </c>
      <c r="D371" s="45" t="str">
        <f>IF(A372&gt;0,C371/'Output Report'!$H$70,"")</f>
        <v/>
      </c>
      <c r="E371" s="46" t="str">
        <f>IF(A372&gt;0,SUM($D$2:D371),"")</f>
        <v/>
      </c>
      <c r="F371" t="str">
        <f t="shared" si="19"/>
        <v/>
      </c>
      <c r="G371" t="str">
        <f t="shared" si="17"/>
        <v/>
      </c>
    </row>
    <row r="372" spans="1:7" x14ac:dyDescent="0.3">
      <c r="A372">
        <f>IF('Output Report'!$H$71+2&gt;ROW(A371),ROW(A371),0)</f>
        <v>0</v>
      </c>
      <c r="B372" t="str">
        <f>IF(AND(A372&gt;0,A372&lt;='Output Report'!$H$71+1),B371+MC_hist!$M$11/'Output Report'!$H$71,"")</f>
        <v/>
      </c>
      <c r="C372" t="str">
        <f t="shared" si="18"/>
        <v/>
      </c>
      <c r="D372" s="45" t="str">
        <f>IF(A373&gt;0,C372/'Output Report'!$H$70,"")</f>
        <v/>
      </c>
      <c r="E372" s="46" t="str">
        <f>IF(A373&gt;0,SUM($D$2:D372),"")</f>
        <v/>
      </c>
      <c r="F372" t="str">
        <f t="shared" si="19"/>
        <v/>
      </c>
      <c r="G372" t="str">
        <f t="shared" si="17"/>
        <v/>
      </c>
    </row>
    <row r="373" spans="1:7" x14ac:dyDescent="0.3">
      <c r="A373">
        <f>IF('Output Report'!$H$71+2&gt;ROW(A372),ROW(A372),0)</f>
        <v>0</v>
      </c>
      <c r="B373" t="str">
        <f>IF(AND(A373&gt;0,A373&lt;='Output Report'!$H$71+1),B372+MC_hist!$M$11/'Output Report'!$H$71,"")</f>
        <v/>
      </c>
      <c r="C373" t="str">
        <f t="shared" si="18"/>
        <v/>
      </c>
      <c r="D373" s="45" t="str">
        <f>IF(A374&gt;0,C373/'Output Report'!$H$70,"")</f>
        <v/>
      </c>
      <c r="E373" s="46" t="str">
        <f>IF(A374&gt;0,SUM($D$2:D373),"")</f>
        <v/>
      </c>
      <c r="F373" t="str">
        <f t="shared" si="19"/>
        <v/>
      </c>
      <c r="G373" t="str">
        <f t="shared" si="17"/>
        <v/>
      </c>
    </row>
    <row r="374" spans="1:7" x14ac:dyDescent="0.3">
      <c r="A374">
        <f>IF('Output Report'!$H$71+2&gt;ROW(A373),ROW(A373),0)</f>
        <v>0</v>
      </c>
      <c r="B374" t="str">
        <f>IF(AND(A374&gt;0,A374&lt;='Output Report'!$H$71+1),B373+MC_hist!$M$11/'Output Report'!$H$71,"")</f>
        <v/>
      </c>
      <c r="C374" t="str">
        <f t="shared" si="18"/>
        <v/>
      </c>
      <c r="D374" s="45" t="str">
        <f>IF(A375&gt;0,C374/'Output Report'!$H$70,"")</f>
        <v/>
      </c>
      <c r="E374" s="46" t="str">
        <f>IF(A375&gt;0,SUM($D$2:D374),"")</f>
        <v/>
      </c>
      <c r="F374" t="str">
        <f t="shared" si="19"/>
        <v/>
      </c>
      <c r="G374" t="str">
        <f t="shared" si="17"/>
        <v/>
      </c>
    </row>
    <row r="375" spans="1:7" x14ac:dyDescent="0.3">
      <c r="A375">
        <f>IF('Output Report'!$H$71+2&gt;ROW(A374),ROW(A374),0)</f>
        <v>0</v>
      </c>
      <c r="B375" t="str">
        <f>IF(AND(A375&gt;0,A375&lt;='Output Report'!$H$71+1),B374+MC_hist!$M$11/'Output Report'!$H$71,"")</f>
        <v/>
      </c>
      <c r="C375" t="str">
        <f t="shared" si="18"/>
        <v/>
      </c>
      <c r="D375" s="45" t="str">
        <f>IF(A376&gt;0,C375/'Output Report'!$H$70,"")</f>
        <v/>
      </c>
      <c r="E375" s="46" t="str">
        <f>IF(A376&gt;0,SUM($D$2:D375),"")</f>
        <v/>
      </c>
      <c r="F375" t="str">
        <f t="shared" si="19"/>
        <v/>
      </c>
      <c r="G375" t="str">
        <f t="shared" si="17"/>
        <v/>
      </c>
    </row>
    <row r="376" spans="1:7" x14ac:dyDescent="0.3">
      <c r="A376">
        <f>IF('Output Report'!$H$71+2&gt;ROW(A375),ROW(A375),0)</f>
        <v>0</v>
      </c>
      <c r="B376" t="str">
        <f>IF(AND(A376&gt;0,A376&lt;='Output Report'!$H$71+1),B375+MC_hist!$M$11/'Output Report'!$H$71,"")</f>
        <v/>
      </c>
      <c r="C376" t="str">
        <f t="shared" si="18"/>
        <v/>
      </c>
      <c r="D376" s="45" t="str">
        <f>IF(A377&gt;0,C376/'Output Report'!$H$70,"")</f>
        <v/>
      </c>
      <c r="E376" s="46" t="str">
        <f>IF(A377&gt;0,SUM($D$2:D376),"")</f>
        <v/>
      </c>
      <c r="F376" t="str">
        <f t="shared" si="19"/>
        <v/>
      </c>
      <c r="G376" t="str">
        <f t="shared" si="17"/>
        <v/>
      </c>
    </row>
    <row r="377" spans="1:7" x14ac:dyDescent="0.3">
      <c r="A377">
        <f>IF('Output Report'!$H$71+2&gt;ROW(A376),ROW(A376),0)</f>
        <v>0</v>
      </c>
      <c r="B377" t="str">
        <f>IF(AND(A377&gt;0,A377&lt;='Output Report'!$H$71+1),B376+MC_hist!$M$11/'Output Report'!$H$71,"")</f>
        <v/>
      </c>
      <c r="C377" t="str">
        <f t="shared" si="18"/>
        <v/>
      </c>
      <c r="D377" s="45" t="str">
        <f>IF(A378&gt;0,C377/'Output Report'!$H$70,"")</f>
        <v/>
      </c>
      <c r="E377" s="46" t="str">
        <f>IF(A378&gt;0,SUM($D$2:D377),"")</f>
        <v/>
      </c>
      <c r="F377" t="str">
        <f t="shared" si="19"/>
        <v/>
      </c>
      <c r="G377" t="str">
        <f t="shared" si="17"/>
        <v/>
      </c>
    </row>
    <row r="378" spans="1:7" x14ac:dyDescent="0.3">
      <c r="A378">
        <f>IF('Output Report'!$H$71+2&gt;ROW(A377),ROW(A377),0)</f>
        <v>0</v>
      </c>
      <c r="B378" t="str">
        <f>IF(AND(A378&gt;0,A378&lt;='Output Report'!$H$71+1),B377+MC_hist!$M$11/'Output Report'!$H$71,"")</f>
        <v/>
      </c>
      <c r="C378" t="str">
        <f t="shared" si="18"/>
        <v/>
      </c>
      <c r="D378" s="45" t="str">
        <f>IF(A379&gt;0,C378/'Output Report'!$H$70,"")</f>
        <v/>
      </c>
      <c r="E378" s="46" t="str">
        <f>IF(A379&gt;0,SUM($D$2:D378),"")</f>
        <v/>
      </c>
      <c r="F378" t="str">
        <f t="shared" si="19"/>
        <v/>
      </c>
      <c r="G378" t="str">
        <f t="shared" si="17"/>
        <v/>
      </c>
    </row>
    <row r="379" spans="1:7" x14ac:dyDescent="0.3">
      <c r="A379">
        <f>IF('Output Report'!$H$71+2&gt;ROW(A378),ROW(A378),0)</f>
        <v>0</v>
      </c>
      <c r="B379" t="str">
        <f>IF(AND(A379&gt;0,A379&lt;='Output Report'!$H$71+1),B378+MC_hist!$M$11/'Output Report'!$H$71,"")</f>
        <v/>
      </c>
      <c r="C379" t="str">
        <f t="shared" si="18"/>
        <v/>
      </c>
      <c r="D379" s="45" t="str">
        <f>IF(A380&gt;0,C379/'Output Report'!$H$70,"")</f>
        <v/>
      </c>
      <c r="E379" s="46" t="str">
        <f>IF(A380&gt;0,SUM($D$2:D379),"")</f>
        <v/>
      </c>
      <c r="F379" t="str">
        <f t="shared" si="19"/>
        <v/>
      </c>
      <c r="G379" t="str">
        <f t="shared" si="17"/>
        <v/>
      </c>
    </row>
    <row r="380" spans="1:7" x14ac:dyDescent="0.3">
      <c r="A380">
        <f>IF('Output Report'!$H$71+2&gt;ROW(A379),ROW(A379),0)</f>
        <v>0</v>
      </c>
      <c r="B380" t="str">
        <f>IF(AND(A380&gt;0,A380&lt;='Output Report'!$H$71+1),B379+MC_hist!$M$11/'Output Report'!$H$71,"")</f>
        <v/>
      </c>
      <c r="C380" t="str">
        <f t="shared" si="18"/>
        <v/>
      </c>
      <c r="D380" s="45" t="str">
        <f>IF(A381&gt;0,C380/'Output Report'!$H$70,"")</f>
        <v/>
      </c>
      <c r="E380" s="46" t="str">
        <f>IF(A381&gt;0,SUM($D$2:D380),"")</f>
        <v/>
      </c>
      <c r="F380" t="str">
        <f t="shared" si="19"/>
        <v/>
      </c>
      <c r="G380" t="str">
        <f t="shared" si="17"/>
        <v/>
      </c>
    </row>
    <row r="381" spans="1:7" x14ac:dyDescent="0.3">
      <c r="A381">
        <f>IF('Output Report'!$H$71+2&gt;ROW(A380),ROW(A380),0)</f>
        <v>0</v>
      </c>
      <c r="B381" t="str">
        <f>IF(AND(A381&gt;0,A381&lt;='Output Report'!$H$71+1),B380+MC_hist!$M$11/'Output Report'!$H$71,"")</f>
        <v/>
      </c>
      <c r="C381" t="str">
        <f t="shared" si="18"/>
        <v/>
      </c>
      <c r="D381" s="45" t="str">
        <f>IF(A382&gt;0,C381/'Output Report'!$H$70,"")</f>
        <v/>
      </c>
      <c r="E381" s="46" t="str">
        <f>IF(A382&gt;0,SUM($D$2:D381),"")</f>
        <v/>
      </c>
      <c r="F381" t="str">
        <f t="shared" si="19"/>
        <v/>
      </c>
      <c r="G381" t="str">
        <f t="shared" si="17"/>
        <v/>
      </c>
    </row>
    <row r="382" spans="1:7" x14ac:dyDescent="0.3">
      <c r="A382">
        <f>IF('Output Report'!$H$71+2&gt;ROW(A381),ROW(A381),0)</f>
        <v>0</v>
      </c>
      <c r="B382" t="str">
        <f>IF(AND(A382&gt;0,A382&lt;='Output Report'!$H$71+1),B381+MC_hist!$M$11/'Output Report'!$H$71,"")</f>
        <v/>
      </c>
      <c r="C382" t="str">
        <f t="shared" si="18"/>
        <v/>
      </c>
      <c r="D382" s="45" t="str">
        <f>IF(A383&gt;0,C382/'Output Report'!$H$70,"")</f>
        <v/>
      </c>
      <c r="E382" s="46" t="str">
        <f>IF(A383&gt;0,SUM($D$2:D382),"")</f>
        <v/>
      </c>
      <c r="F382" t="str">
        <f t="shared" si="19"/>
        <v/>
      </c>
      <c r="G382" t="str">
        <f t="shared" si="17"/>
        <v/>
      </c>
    </row>
    <row r="383" spans="1:7" x14ac:dyDescent="0.3">
      <c r="A383">
        <f>IF('Output Report'!$H$71+2&gt;ROW(A382),ROW(A382),0)</f>
        <v>0</v>
      </c>
      <c r="B383" t="str">
        <f>IF(AND(A383&gt;0,A383&lt;='Output Report'!$H$71+1),B382+MC_hist!$M$11/'Output Report'!$H$71,"")</f>
        <v/>
      </c>
      <c r="C383" t="str">
        <f t="shared" si="18"/>
        <v/>
      </c>
      <c r="D383" s="45" t="str">
        <f>IF(A384&gt;0,C383/'Output Report'!$H$70,"")</f>
        <v/>
      </c>
      <c r="E383" s="46" t="str">
        <f>IF(A384&gt;0,SUM($D$2:D383),"")</f>
        <v/>
      </c>
      <c r="F383" t="str">
        <f t="shared" si="19"/>
        <v/>
      </c>
      <c r="G383" t="str">
        <f t="shared" si="17"/>
        <v/>
      </c>
    </row>
    <row r="384" spans="1:7" x14ac:dyDescent="0.3">
      <c r="A384">
        <f>IF('Output Report'!$H$71+2&gt;ROW(A383),ROW(A383),0)</f>
        <v>0</v>
      </c>
      <c r="B384" t="str">
        <f>IF(AND(A384&gt;0,A384&lt;='Output Report'!$H$71+1),B383+MC_hist!$M$11/'Output Report'!$H$71,"")</f>
        <v/>
      </c>
      <c r="C384" t="str">
        <f t="shared" si="18"/>
        <v/>
      </c>
      <c r="D384" s="45" t="str">
        <f>IF(A385&gt;0,C384/'Output Report'!$H$70,"")</f>
        <v/>
      </c>
      <c r="E384" s="46" t="str">
        <f>IF(A385&gt;0,SUM($D$2:D384),"")</f>
        <v/>
      </c>
      <c r="F384" t="str">
        <f t="shared" si="19"/>
        <v/>
      </c>
      <c r="G384" t="str">
        <f t="shared" si="17"/>
        <v/>
      </c>
    </row>
    <row r="385" spans="1:7" x14ac:dyDescent="0.3">
      <c r="A385">
        <f>IF('Output Report'!$H$71+2&gt;ROW(A384),ROW(A384),0)</f>
        <v>0</v>
      </c>
      <c r="B385" t="str">
        <f>IF(AND(A385&gt;0,A385&lt;='Output Report'!$H$71+1),B384+MC_hist!$M$11/'Output Report'!$H$71,"")</f>
        <v/>
      </c>
      <c r="C385" t="str">
        <f t="shared" si="18"/>
        <v/>
      </c>
      <c r="D385" s="45" t="str">
        <f>IF(A386&gt;0,C385/'Output Report'!$H$70,"")</f>
        <v/>
      </c>
      <c r="E385" s="46" t="str">
        <f>IF(A386&gt;0,SUM($D$2:D385),"")</f>
        <v/>
      </c>
      <c r="F385" t="str">
        <f t="shared" si="19"/>
        <v/>
      </c>
      <c r="G385" t="str">
        <f t="shared" si="17"/>
        <v/>
      </c>
    </row>
    <row r="386" spans="1:7" x14ac:dyDescent="0.3">
      <c r="A386">
        <f>IF('Output Report'!$H$71+2&gt;ROW(A385),ROW(A385),0)</f>
        <v>0</v>
      </c>
      <c r="B386" t="str">
        <f>IF(AND(A386&gt;0,A386&lt;='Output Report'!$H$71+1),B385+MC_hist!$M$11/'Output Report'!$H$71,"")</f>
        <v/>
      </c>
      <c r="C386" t="str">
        <f t="shared" si="18"/>
        <v/>
      </c>
      <c r="D386" s="45" t="str">
        <f>IF(A387&gt;0,C386/'Output Report'!$H$70,"")</f>
        <v/>
      </c>
      <c r="E386" s="46" t="str">
        <f>IF(A387&gt;0,SUM($D$2:D386),"")</f>
        <v/>
      </c>
      <c r="F386" t="str">
        <f t="shared" si="19"/>
        <v/>
      </c>
      <c r="G386" t="str">
        <f t="shared" si="17"/>
        <v/>
      </c>
    </row>
    <row r="387" spans="1:7" x14ac:dyDescent="0.3">
      <c r="A387">
        <f>IF('Output Report'!$H$71+2&gt;ROW(A386),ROW(A386),0)</f>
        <v>0</v>
      </c>
      <c r="B387" t="str">
        <f>IF(AND(A387&gt;0,A387&lt;='Output Report'!$H$71+1),B386+MC_hist!$M$11/'Output Report'!$H$71,"")</f>
        <v/>
      </c>
      <c r="C387" t="str">
        <f t="shared" si="18"/>
        <v/>
      </c>
      <c r="D387" s="45" t="str">
        <f>IF(A388&gt;0,C387/'Output Report'!$H$70,"")</f>
        <v/>
      </c>
      <c r="E387" s="46" t="str">
        <f>IF(A388&gt;0,SUM($D$2:D387),"")</f>
        <v/>
      </c>
      <c r="F387" t="str">
        <f t="shared" si="19"/>
        <v/>
      </c>
      <c r="G387" t="str">
        <f t="shared" ref="G387:G450" si="20">IF(B387&lt;=0,E387,"")</f>
        <v/>
      </c>
    </row>
    <row r="388" spans="1:7" x14ac:dyDescent="0.3">
      <c r="A388">
        <f>IF('Output Report'!$H$71+2&gt;ROW(A387),ROW(A387),0)</f>
        <v>0</v>
      </c>
      <c r="B388" t="str">
        <f>IF(AND(A388&gt;0,A388&lt;='Output Report'!$H$71+1),B387+MC_hist!$M$11/'Output Report'!$H$71,"")</f>
        <v/>
      </c>
      <c r="C388" t="str">
        <f t="shared" si="18"/>
        <v/>
      </c>
      <c r="D388" s="45" t="str">
        <f>IF(A389&gt;0,C388/'Output Report'!$H$70,"")</f>
        <v/>
      </c>
      <c r="E388" s="46" t="str">
        <f>IF(A389&gt;0,SUM($D$2:D388),"")</f>
        <v/>
      </c>
      <c r="F388" t="str">
        <f t="shared" si="19"/>
        <v/>
      </c>
      <c r="G388" t="str">
        <f t="shared" si="20"/>
        <v/>
      </c>
    </row>
    <row r="389" spans="1:7" x14ac:dyDescent="0.3">
      <c r="A389">
        <f>IF('Output Report'!$H$71+2&gt;ROW(A388),ROW(A388),0)</f>
        <v>0</v>
      </c>
      <c r="B389" t="str">
        <f>IF(AND(A389&gt;0,A389&lt;='Output Report'!$H$71+1),B388+MC_hist!$M$11/'Output Report'!$H$71,"")</f>
        <v/>
      </c>
      <c r="C389" t="str">
        <f t="shared" si="18"/>
        <v/>
      </c>
      <c r="D389" s="45" t="str">
        <f>IF(A390&gt;0,C389/'Output Report'!$H$70,"")</f>
        <v/>
      </c>
      <c r="E389" s="46" t="str">
        <f>IF(A390&gt;0,SUM($D$2:D389),"")</f>
        <v/>
      </c>
      <c r="F389" t="str">
        <f t="shared" si="19"/>
        <v/>
      </c>
      <c r="G389" t="str">
        <f t="shared" si="20"/>
        <v/>
      </c>
    </row>
    <row r="390" spans="1:7" x14ac:dyDescent="0.3">
      <c r="A390">
        <f>IF('Output Report'!$H$71+2&gt;ROW(A389),ROW(A389),0)</f>
        <v>0</v>
      </c>
      <c r="B390" t="str">
        <f>IF(AND(A390&gt;0,A390&lt;='Output Report'!$H$71+1),B389+MC_hist!$M$11/'Output Report'!$H$71,"")</f>
        <v/>
      </c>
      <c r="C390" t="str">
        <f t="shared" si="18"/>
        <v/>
      </c>
      <c r="D390" s="45" t="str">
        <f>IF(A391&gt;0,C390/'Output Report'!$H$70,"")</f>
        <v/>
      </c>
      <c r="E390" s="46" t="str">
        <f>IF(A391&gt;0,SUM($D$2:D390),"")</f>
        <v/>
      </c>
      <c r="F390" t="str">
        <f t="shared" si="19"/>
        <v/>
      </c>
      <c r="G390" t="str">
        <f t="shared" si="20"/>
        <v/>
      </c>
    </row>
    <row r="391" spans="1:7" x14ac:dyDescent="0.3">
      <c r="A391">
        <f>IF('Output Report'!$H$71+2&gt;ROW(A390),ROW(A390),0)</f>
        <v>0</v>
      </c>
      <c r="B391" t="str">
        <f>IF(AND(A391&gt;0,A391&lt;='Output Report'!$H$71+1),B390+MC_hist!$M$11/'Output Report'!$H$71,"")</f>
        <v/>
      </c>
      <c r="C391" t="str">
        <f t="shared" si="18"/>
        <v/>
      </c>
      <c r="D391" s="45" t="str">
        <f>IF(A392&gt;0,C391/'Output Report'!$H$70,"")</f>
        <v/>
      </c>
      <c r="E391" s="46" t="str">
        <f>IF(A392&gt;0,SUM($D$2:D391),"")</f>
        <v/>
      </c>
      <c r="F391" t="str">
        <f t="shared" si="19"/>
        <v/>
      </c>
      <c r="G391" t="str">
        <f t="shared" si="20"/>
        <v/>
      </c>
    </row>
    <row r="392" spans="1:7" x14ac:dyDescent="0.3">
      <c r="A392">
        <f>IF('Output Report'!$H$71+2&gt;ROW(A391),ROW(A391),0)</f>
        <v>0</v>
      </c>
      <c r="B392" t="str">
        <f>IF(AND(A392&gt;0,A392&lt;='Output Report'!$H$71+1),B391+MC_hist!$M$11/'Output Report'!$H$71,"")</f>
        <v/>
      </c>
      <c r="C392" t="str">
        <f t="shared" si="18"/>
        <v/>
      </c>
      <c r="D392" s="45" t="str">
        <f>IF(A393&gt;0,C392/'Output Report'!$H$70,"")</f>
        <v/>
      </c>
      <c r="E392" s="46" t="str">
        <f>IF(A393&gt;0,SUM($D$2:D392),"")</f>
        <v/>
      </c>
      <c r="F392" t="str">
        <f t="shared" si="19"/>
        <v/>
      </c>
      <c r="G392" t="str">
        <f t="shared" si="20"/>
        <v/>
      </c>
    </row>
    <row r="393" spans="1:7" x14ac:dyDescent="0.3">
      <c r="A393">
        <f>IF('Output Report'!$H$71+2&gt;ROW(A392),ROW(A392),0)</f>
        <v>0</v>
      </c>
      <c r="B393" t="str">
        <f>IF(AND(A393&gt;0,A393&lt;='Output Report'!$H$71+1),B392+MC_hist!$M$11/'Output Report'!$H$71,"")</f>
        <v/>
      </c>
      <c r="C393" t="str">
        <f t="shared" si="18"/>
        <v/>
      </c>
      <c r="D393" s="45" t="str">
        <f>IF(A394&gt;0,C393/'Output Report'!$H$70,"")</f>
        <v/>
      </c>
      <c r="E393" s="46" t="str">
        <f>IF(A394&gt;0,SUM($D$2:D393),"")</f>
        <v/>
      </c>
      <c r="F393" t="str">
        <f t="shared" si="19"/>
        <v/>
      </c>
      <c r="G393" t="str">
        <f t="shared" si="20"/>
        <v/>
      </c>
    </row>
    <row r="394" spans="1:7" x14ac:dyDescent="0.3">
      <c r="A394">
        <f>IF('Output Report'!$H$71+2&gt;ROW(A393),ROW(A393),0)</f>
        <v>0</v>
      </c>
      <c r="B394" t="str">
        <f>IF(AND(A394&gt;0,A394&lt;='Output Report'!$H$71+1),B393+MC_hist!$M$11/'Output Report'!$H$71,"")</f>
        <v/>
      </c>
      <c r="C394" t="str">
        <f t="shared" si="18"/>
        <v/>
      </c>
      <c r="D394" s="45" t="str">
        <f>IF(A395&gt;0,C394/'Output Report'!$H$70,"")</f>
        <v/>
      </c>
      <c r="E394" s="46" t="str">
        <f>IF(A395&gt;0,SUM($D$2:D394),"")</f>
        <v/>
      </c>
      <c r="F394" t="str">
        <f t="shared" si="19"/>
        <v/>
      </c>
      <c r="G394" t="str">
        <f t="shared" si="20"/>
        <v/>
      </c>
    </row>
    <row r="395" spans="1:7" x14ac:dyDescent="0.3">
      <c r="A395">
        <f>IF('Output Report'!$H$71+2&gt;ROW(A394),ROW(A394),0)</f>
        <v>0</v>
      </c>
      <c r="B395" t="str">
        <f>IF(AND(A395&gt;0,A395&lt;='Output Report'!$H$71+1),B394+MC_hist!$M$11/'Output Report'!$H$71,"")</f>
        <v/>
      </c>
      <c r="C395" t="str">
        <f t="shared" si="18"/>
        <v/>
      </c>
      <c r="D395" s="45" t="str">
        <f>IF(A396&gt;0,C395/'Output Report'!$H$70,"")</f>
        <v/>
      </c>
      <c r="E395" s="46" t="str">
        <f>IF(A396&gt;0,SUM($D$2:D395),"")</f>
        <v/>
      </c>
      <c r="F395" t="str">
        <f t="shared" si="19"/>
        <v/>
      </c>
      <c r="G395" t="str">
        <f t="shared" si="20"/>
        <v/>
      </c>
    </row>
    <row r="396" spans="1:7" x14ac:dyDescent="0.3">
      <c r="A396">
        <f>IF('Output Report'!$H$71+2&gt;ROW(A395),ROW(A395),0)</f>
        <v>0</v>
      </c>
      <c r="B396" t="str">
        <f>IF(AND(A396&gt;0,A396&lt;='Output Report'!$H$71+1),B395+MC_hist!$M$11/'Output Report'!$H$71,"")</f>
        <v/>
      </c>
      <c r="C396" t="str">
        <f t="shared" si="18"/>
        <v/>
      </c>
      <c r="D396" s="45" t="str">
        <f>IF(A397&gt;0,C396/'Output Report'!$H$70,"")</f>
        <v/>
      </c>
      <c r="E396" s="46" t="str">
        <f>IF(A397&gt;0,SUM($D$2:D396),"")</f>
        <v/>
      </c>
      <c r="F396" t="str">
        <f t="shared" si="19"/>
        <v/>
      </c>
      <c r="G396" t="str">
        <f t="shared" si="20"/>
        <v/>
      </c>
    </row>
    <row r="397" spans="1:7" x14ac:dyDescent="0.3">
      <c r="A397">
        <f>IF('Output Report'!$H$71+2&gt;ROW(A396),ROW(A396),0)</f>
        <v>0</v>
      </c>
      <c r="B397" t="str">
        <f>IF(AND(A397&gt;0,A397&lt;='Output Report'!$H$71+1),B396+MC_hist!$M$11/'Output Report'!$H$71,"")</f>
        <v/>
      </c>
      <c r="C397" t="str">
        <f t="shared" si="18"/>
        <v/>
      </c>
      <c r="D397" s="45" t="str">
        <f>IF(A398&gt;0,C397/'Output Report'!$H$70,"")</f>
        <v/>
      </c>
      <c r="E397" s="46" t="str">
        <f>IF(A398&gt;0,SUM($D$2:D397),"")</f>
        <v/>
      </c>
      <c r="F397" t="str">
        <f t="shared" si="19"/>
        <v/>
      </c>
      <c r="G397" t="str">
        <f t="shared" si="20"/>
        <v/>
      </c>
    </row>
    <row r="398" spans="1:7" x14ac:dyDescent="0.3">
      <c r="A398">
        <f>IF('Output Report'!$H$71+2&gt;ROW(A397),ROW(A397),0)</f>
        <v>0</v>
      </c>
      <c r="B398" t="str">
        <f>IF(AND(A398&gt;0,A398&lt;='Output Report'!$H$71+1),B397+MC_hist!$M$11/'Output Report'!$H$71,"")</f>
        <v/>
      </c>
      <c r="C398" t="str">
        <f t="shared" si="18"/>
        <v/>
      </c>
      <c r="D398" s="45" t="str">
        <f>IF(A399&gt;0,C398/'Output Report'!$H$70,"")</f>
        <v/>
      </c>
      <c r="E398" s="46" t="str">
        <f>IF(A399&gt;0,SUM($D$2:D398),"")</f>
        <v/>
      </c>
      <c r="F398" t="str">
        <f t="shared" si="19"/>
        <v/>
      </c>
      <c r="G398" t="str">
        <f t="shared" si="20"/>
        <v/>
      </c>
    </row>
    <row r="399" spans="1:7" x14ac:dyDescent="0.3">
      <c r="A399">
        <f>IF('Output Report'!$H$71+2&gt;ROW(A398),ROW(A398),0)</f>
        <v>0</v>
      </c>
      <c r="B399" t="str">
        <f>IF(AND(A399&gt;0,A399&lt;='Output Report'!$H$71+1),B398+MC_hist!$M$11/'Output Report'!$H$71,"")</f>
        <v/>
      </c>
      <c r="C399" t="str">
        <f t="shared" si="18"/>
        <v/>
      </c>
      <c r="D399" s="45" t="str">
        <f>IF(A400&gt;0,C399/'Output Report'!$H$70,"")</f>
        <v/>
      </c>
      <c r="E399" s="46" t="str">
        <f>IF(A400&gt;0,SUM($D$2:D399),"")</f>
        <v/>
      </c>
      <c r="F399" t="str">
        <f t="shared" si="19"/>
        <v/>
      </c>
      <c r="G399" t="str">
        <f t="shared" si="20"/>
        <v/>
      </c>
    </row>
    <row r="400" spans="1:7" x14ac:dyDescent="0.3">
      <c r="A400">
        <f>IF('Output Report'!$H$71+2&gt;ROW(A399),ROW(A399),0)</f>
        <v>0</v>
      </c>
      <c r="B400" t="str">
        <f>IF(AND(A400&gt;0,A400&lt;='Output Report'!$H$71+1),B399+MC_hist!$M$11/'Output Report'!$H$71,"")</f>
        <v/>
      </c>
      <c r="C400" t="str">
        <f t="shared" si="18"/>
        <v/>
      </c>
      <c r="D400" s="45" t="str">
        <f>IF(A401&gt;0,C400/'Output Report'!$H$70,"")</f>
        <v/>
      </c>
      <c r="E400" s="46" t="str">
        <f>IF(A401&gt;0,SUM($D$2:D400),"")</f>
        <v/>
      </c>
      <c r="F400" t="str">
        <f t="shared" si="19"/>
        <v/>
      </c>
      <c r="G400" t="str">
        <f t="shared" si="20"/>
        <v/>
      </c>
    </row>
    <row r="401" spans="1:7" x14ac:dyDescent="0.3">
      <c r="A401">
        <f>IF('Output Report'!$H$71+2&gt;ROW(A400),ROW(A400),0)</f>
        <v>0</v>
      </c>
      <c r="B401" t="str">
        <f>IF(AND(A401&gt;0,A401&lt;='Output Report'!$H$71+1),B400+MC_hist!$M$11/'Output Report'!$H$71,"")</f>
        <v/>
      </c>
      <c r="C401" t="str">
        <f t="shared" si="18"/>
        <v/>
      </c>
      <c r="D401" s="45" t="str">
        <f>IF(A402&gt;0,C401/'Output Report'!$H$70,"")</f>
        <v/>
      </c>
      <c r="E401" s="46" t="str">
        <f>IF(A402&gt;0,SUM($D$2:D401),"")</f>
        <v/>
      </c>
      <c r="F401" t="str">
        <f t="shared" si="19"/>
        <v/>
      </c>
      <c r="G401" t="str">
        <f t="shared" si="20"/>
        <v/>
      </c>
    </row>
    <row r="402" spans="1:7" x14ac:dyDescent="0.3">
      <c r="A402">
        <f>IF('Output Report'!$H$71+2&gt;ROW(A401),ROW(A401),0)</f>
        <v>0</v>
      </c>
      <c r="B402" t="str">
        <f>IF(AND(A402&gt;0,A402&lt;='Output Report'!$H$71+1),B401+MC_hist!$M$11/'Output Report'!$H$71,"")</f>
        <v/>
      </c>
      <c r="C402" t="str">
        <f t="shared" si="18"/>
        <v/>
      </c>
      <c r="D402" s="45" t="str">
        <f>IF(A403&gt;0,C402/'Output Report'!$H$70,"")</f>
        <v/>
      </c>
      <c r="E402" s="46" t="str">
        <f>IF(A403&gt;0,SUM($D$2:D402),"")</f>
        <v/>
      </c>
      <c r="F402" t="str">
        <f t="shared" si="19"/>
        <v/>
      </c>
      <c r="G402" t="str">
        <f t="shared" si="20"/>
        <v/>
      </c>
    </row>
    <row r="403" spans="1:7" x14ac:dyDescent="0.3">
      <c r="A403">
        <f>IF('Output Report'!$H$71+2&gt;ROW(A402),ROW(A402),0)</f>
        <v>0</v>
      </c>
      <c r="B403" t="str">
        <f>IF(AND(A403&gt;0,A403&lt;='Output Report'!$H$71+1),B402+MC_hist!$M$11/'Output Report'!$H$71,"")</f>
        <v/>
      </c>
      <c r="C403" t="str">
        <f t="shared" si="18"/>
        <v/>
      </c>
      <c r="D403" s="45" t="str">
        <f>IF(A404&gt;0,C403/'Output Report'!$H$70,"")</f>
        <v/>
      </c>
      <c r="E403" s="46" t="str">
        <f>IF(A404&gt;0,SUM($D$2:D403),"")</f>
        <v/>
      </c>
      <c r="F403" t="str">
        <f t="shared" si="19"/>
        <v/>
      </c>
      <c r="G403" t="str">
        <f t="shared" si="20"/>
        <v/>
      </c>
    </row>
    <row r="404" spans="1:7" x14ac:dyDescent="0.3">
      <c r="A404">
        <f>IF('Output Report'!$H$71+2&gt;ROW(A403),ROW(A403),0)</f>
        <v>0</v>
      </c>
      <c r="B404" t="str">
        <f>IF(AND(A404&gt;0,A404&lt;='Output Report'!$H$71+1),B403+MC_hist!$M$11/'Output Report'!$H$71,"")</f>
        <v/>
      </c>
      <c r="C404" t="str">
        <f t="shared" si="18"/>
        <v/>
      </c>
      <c r="D404" s="45" t="str">
        <f>IF(A405&gt;0,C404/'Output Report'!$H$70,"")</f>
        <v/>
      </c>
      <c r="E404" s="46" t="str">
        <f>IF(A405&gt;0,SUM($D$2:D404),"")</f>
        <v/>
      </c>
      <c r="F404" t="str">
        <f t="shared" si="19"/>
        <v/>
      </c>
      <c r="G404" t="str">
        <f t="shared" si="20"/>
        <v/>
      </c>
    </row>
    <row r="405" spans="1:7" x14ac:dyDescent="0.3">
      <c r="A405">
        <f>IF('Output Report'!$H$71+2&gt;ROW(A404),ROW(A404),0)</f>
        <v>0</v>
      </c>
      <c r="B405" t="str">
        <f>IF(AND(A405&gt;0,A405&lt;='Output Report'!$H$71+1),B404+MC_hist!$M$11/'Output Report'!$H$71,"")</f>
        <v/>
      </c>
      <c r="C405" t="str">
        <f t="shared" si="18"/>
        <v/>
      </c>
      <c r="D405" s="45" t="str">
        <f>IF(A406&gt;0,C405/'Output Report'!$H$70,"")</f>
        <v/>
      </c>
      <c r="E405" s="46" t="str">
        <f>IF(A406&gt;0,SUM($D$2:D405),"")</f>
        <v/>
      </c>
      <c r="F405" t="str">
        <f t="shared" si="19"/>
        <v/>
      </c>
      <c r="G405" t="str">
        <f t="shared" si="20"/>
        <v/>
      </c>
    </row>
    <row r="406" spans="1:7" x14ac:dyDescent="0.3">
      <c r="A406">
        <f>IF('Output Report'!$H$71+2&gt;ROW(A405),ROW(A405),0)</f>
        <v>0</v>
      </c>
      <c r="B406" t="str">
        <f>IF(AND(A406&gt;0,A406&lt;='Output Report'!$H$71+1),B405+MC_hist!$M$11/'Output Report'!$H$71,"")</f>
        <v/>
      </c>
      <c r="C406" t="str">
        <f t="shared" si="18"/>
        <v/>
      </c>
      <c r="D406" s="45" t="str">
        <f>IF(A407&gt;0,C406/'Output Report'!$H$70,"")</f>
        <v/>
      </c>
      <c r="E406" s="46" t="str">
        <f>IF(A407&gt;0,SUM($D$2:D406),"")</f>
        <v/>
      </c>
      <c r="F406" t="str">
        <f t="shared" si="19"/>
        <v/>
      </c>
      <c r="G406" t="str">
        <f t="shared" si="20"/>
        <v/>
      </c>
    </row>
    <row r="407" spans="1:7" x14ac:dyDescent="0.3">
      <c r="A407">
        <f>IF('Output Report'!$H$71+2&gt;ROW(A406),ROW(A406),0)</f>
        <v>0</v>
      </c>
      <c r="B407" t="str">
        <f>IF(AND(A407&gt;0,A407&lt;='Output Report'!$H$71+1),B406+MC_hist!$M$11/'Output Report'!$H$71,"")</f>
        <v/>
      </c>
      <c r="C407" t="str">
        <f t="shared" si="18"/>
        <v/>
      </c>
      <c r="D407" s="45" t="str">
        <f>IF(A408&gt;0,C407/'Output Report'!$H$70,"")</f>
        <v/>
      </c>
      <c r="E407" s="46" t="str">
        <f>IF(A408&gt;0,SUM($D$2:D407),"")</f>
        <v/>
      </c>
      <c r="F407" t="str">
        <f t="shared" si="19"/>
        <v/>
      </c>
      <c r="G407" t="str">
        <f t="shared" si="20"/>
        <v/>
      </c>
    </row>
    <row r="408" spans="1:7" x14ac:dyDescent="0.3">
      <c r="A408">
        <f>IF('Output Report'!$H$71+2&gt;ROW(A407),ROW(A407),0)</f>
        <v>0</v>
      </c>
      <c r="B408" t="str">
        <f>IF(AND(A408&gt;0,A408&lt;='Output Report'!$H$71+1),B407+MC_hist!$M$11/'Output Report'!$H$71,"")</f>
        <v/>
      </c>
      <c r="C408" t="str">
        <f t="shared" si="18"/>
        <v/>
      </c>
      <c r="D408" s="45" t="str">
        <f>IF(A409&gt;0,C408/'Output Report'!$H$70,"")</f>
        <v/>
      </c>
      <c r="E408" s="46" t="str">
        <f>IF(A409&gt;0,SUM($D$2:D408),"")</f>
        <v/>
      </c>
      <c r="F408" t="str">
        <f t="shared" si="19"/>
        <v/>
      </c>
      <c r="G408" t="str">
        <f t="shared" si="20"/>
        <v/>
      </c>
    </row>
    <row r="409" spans="1:7" x14ac:dyDescent="0.3">
      <c r="A409">
        <f>IF('Output Report'!$H$71+2&gt;ROW(A408),ROW(A408),0)</f>
        <v>0</v>
      </c>
      <c r="B409" t="str">
        <f>IF(AND(A409&gt;0,A409&lt;='Output Report'!$H$71+1),B408+MC_hist!$M$11/'Output Report'!$H$71,"")</f>
        <v/>
      </c>
      <c r="C409" t="str">
        <f t="shared" si="18"/>
        <v/>
      </c>
      <c r="D409" s="45" t="str">
        <f>IF(A410&gt;0,C409/'Output Report'!$H$70,"")</f>
        <v/>
      </c>
      <c r="E409" s="46" t="str">
        <f>IF(A410&gt;0,SUM($D$2:D409),"")</f>
        <v/>
      </c>
      <c r="F409" t="str">
        <f t="shared" si="19"/>
        <v/>
      </c>
      <c r="G409" t="str">
        <f t="shared" si="20"/>
        <v/>
      </c>
    </row>
    <row r="410" spans="1:7" x14ac:dyDescent="0.3">
      <c r="A410">
        <f>IF('Output Report'!$H$71+2&gt;ROW(A409),ROW(A409),0)</f>
        <v>0</v>
      </c>
      <c r="B410" t="str">
        <f>IF(AND(A410&gt;0,A410&lt;='Output Report'!$H$71+1),B409+MC_hist!$M$11/'Output Report'!$H$71,"")</f>
        <v/>
      </c>
      <c r="C410" t="str">
        <f t="shared" si="18"/>
        <v/>
      </c>
      <c r="D410" s="45" t="str">
        <f>IF(A411&gt;0,C410/'Output Report'!$H$70,"")</f>
        <v/>
      </c>
      <c r="E410" s="46" t="str">
        <f>IF(A411&gt;0,SUM($D$2:D410),"")</f>
        <v/>
      </c>
      <c r="F410" t="str">
        <f t="shared" si="19"/>
        <v/>
      </c>
      <c r="G410" t="str">
        <f t="shared" si="20"/>
        <v/>
      </c>
    </row>
    <row r="411" spans="1:7" x14ac:dyDescent="0.3">
      <c r="A411">
        <f>IF('Output Report'!$H$71+2&gt;ROW(A410),ROW(A410),0)</f>
        <v>0</v>
      </c>
      <c r="B411" t="str">
        <f>IF(AND(A411&gt;0,A411&lt;='Output Report'!$H$71+1),B410+MC_hist!$M$11/'Output Report'!$H$71,"")</f>
        <v/>
      </c>
      <c r="C411" t="str">
        <f t="shared" si="18"/>
        <v/>
      </c>
      <c r="D411" s="45" t="str">
        <f>IF(A412&gt;0,C411/'Output Report'!$H$70,"")</f>
        <v/>
      </c>
      <c r="E411" s="46" t="str">
        <f>IF(A412&gt;0,SUM($D$2:D411),"")</f>
        <v/>
      </c>
      <c r="F411" t="str">
        <f t="shared" si="19"/>
        <v/>
      </c>
      <c r="G411" t="str">
        <f t="shared" si="20"/>
        <v/>
      </c>
    </row>
    <row r="412" spans="1:7" x14ac:dyDescent="0.3">
      <c r="A412">
        <f>IF('Output Report'!$H$71+2&gt;ROW(A411),ROW(A411),0)</f>
        <v>0</v>
      </c>
      <c r="B412" t="str">
        <f>IF(AND(A412&gt;0,A412&lt;='Output Report'!$H$71+1),B411+MC_hist!$M$11/'Output Report'!$H$71,"")</f>
        <v/>
      </c>
      <c r="C412" t="str">
        <f t="shared" si="18"/>
        <v/>
      </c>
      <c r="D412" s="45" t="str">
        <f>IF(A413&gt;0,C412/'Output Report'!$H$70,"")</f>
        <v/>
      </c>
      <c r="E412" s="46" t="str">
        <f>IF(A413&gt;0,SUM($D$2:D412),"")</f>
        <v/>
      </c>
      <c r="F412" t="str">
        <f t="shared" si="19"/>
        <v/>
      </c>
      <c r="G412" t="str">
        <f t="shared" si="20"/>
        <v/>
      </c>
    </row>
    <row r="413" spans="1:7" x14ac:dyDescent="0.3">
      <c r="A413">
        <f>IF('Output Report'!$H$71+2&gt;ROW(A412),ROW(A412),0)</f>
        <v>0</v>
      </c>
      <c r="B413" t="str">
        <f>IF(AND(A413&gt;0,A413&lt;='Output Report'!$H$71+1),B412+MC_hist!$M$11/'Output Report'!$H$71,"")</f>
        <v/>
      </c>
      <c r="C413" t="str">
        <f t="shared" si="18"/>
        <v/>
      </c>
      <c r="D413" s="45" t="str">
        <f>IF(A414&gt;0,C413/'Output Report'!$H$70,"")</f>
        <v/>
      </c>
      <c r="E413" s="46" t="str">
        <f>IF(A414&gt;0,SUM($D$2:D413),"")</f>
        <v/>
      </c>
      <c r="F413" t="str">
        <f t="shared" si="19"/>
        <v/>
      </c>
      <c r="G413" t="str">
        <f t="shared" si="20"/>
        <v/>
      </c>
    </row>
    <row r="414" spans="1:7" x14ac:dyDescent="0.3">
      <c r="A414">
        <f>IF('Output Report'!$H$71+2&gt;ROW(A413),ROW(A413),0)</f>
        <v>0</v>
      </c>
      <c r="B414" t="str">
        <f>IF(AND(A414&gt;0,A414&lt;='Output Report'!$H$71+1),B413+MC_hist!$M$11/'Output Report'!$H$71,"")</f>
        <v/>
      </c>
      <c r="C414" t="str">
        <f t="shared" si="18"/>
        <v/>
      </c>
      <c r="D414" s="45" t="str">
        <f>IF(A415&gt;0,C414/'Output Report'!$H$70,"")</f>
        <v/>
      </c>
      <c r="E414" s="46" t="str">
        <f>IF(A415&gt;0,SUM($D$2:D414),"")</f>
        <v/>
      </c>
      <c r="F414" t="str">
        <f t="shared" si="19"/>
        <v/>
      </c>
      <c r="G414" t="str">
        <f t="shared" si="20"/>
        <v/>
      </c>
    </row>
    <row r="415" spans="1:7" x14ac:dyDescent="0.3">
      <c r="A415">
        <f>IF('Output Report'!$H$71+2&gt;ROW(A414),ROW(A414),0)</f>
        <v>0</v>
      </c>
      <c r="B415" t="str">
        <f>IF(AND(A415&gt;0,A415&lt;='Output Report'!$H$71+1),B414+MC_hist!$M$11/'Output Report'!$H$71,"")</f>
        <v/>
      </c>
      <c r="C415" t="str">
        <f t="shared" si="18"/>
        <v/>
      </c>
      <c r="D415" s="45" t="str">
        <f>IF(A416&gt;0,C415/'Output Report'!$H$70,"")</f>
        <v/>
      </c>
      <c r="E415" s="46" t="str">
        <f>IF(A416&gt;0,SUM($D$2:D415),"")</f>
        <v/>
      </c>
      <c r="F415" t="str">
        <f t="shared" si="19"/>
        <v/>
      </c>
      <c r="G415" t="str">
        <f t="shared" si="20"/>
        <v/>
      </c>
    </row>
    <row r="416" spans="1:7" x14ac:dyDescent="0.3">
      <c r="A416">
        <f>IF('Output Report'!$H$71+2&gt;ROW(A415),ROW(A415),0)</f>
        <v>0</v>
      </c>
      <c r="B416" t="str">
        <f>IF(AND(A416&gt;0,A416&lt;='Output Report'!$H$71+1),B415+MC_hist!$M$11/'Output Report'!$H$71,"")</f>
        <v/>
      </c>
      <c r="C416" t="str">
        <f t="shared" si="18"/>
        <v/>
      </c>
      <c r="D416" s="45" t="str">
        <f>IF(A417&gt;0,C416/'Output Report'!$H$70,"")</f>
        <v/>
      </c>
      <c r="E416" s="46" t="str">
        <f>IF(A417&gt;0,SUM($D$2:D416),"")</f>
        <v/>
      </c>
      <c r="F416" t="str">
        <f t="shared" si="19"/>
        <v/>
      </c>
      <c r="G416" t="str">
        <f t="shared" si="20"/>
        <v/>
      </c>
    </row>
    <row r="417" spans="1:7" x14ac:dyDescent="0.3">
      <c r="A417">
        <f>IF('Output Report'!$H$71+2&gt;ROW(A416),ROW(A416),0)</f>
        <v>0</v>
      </c>
      <c r="B417" t="str">
        <f>IF(AND(A417&gt;0,A417&lt;='Output Report'!$H$71+1),B416+MC_hist!$M$11/'Output Report'!$H$71,"")</f>
        <v/>
      </c>
      <c r="C417" t="str">
        <f t="shared" si="18"/>
        <v/>
      </c>
      <c r="D417" s="45" t="str">
        <f>IF(A418&gt;0,C417/'Output Report'!$H$70,"")</f>
        <v/>
      </c>
      <c r="E417" s="46" t="str">
        <f>IF(A418&gt;0,SUM($D$2:D417),"")</f>
        <v/>
      </c>
      <c r="F417" t="str">
        <f t="shared" si="19"/>
        <v/>
      </c>
      <c r="G417" t="str">
        <f t="shared" si="20"/>
        <v/>
      </c>
    </row>
    <row r="418" spans="1:7" x14ac:dyDescent="0.3">
      <c r="A418">
        <f>IF('Output Report'!$H$71+2&gt;ROW(A417),ROW(A417),0)</f>
        <v>0</v>
      </c>
      <c r="B418" t="str">
        <f>IF(AND(A418&gt;0,A418&lt;='Output Report'!$H$71+1),B417+MC_hist!$M$11/'Output Report'!$H$71,"")</f>
        <v/>
      </c>
      <c r="C418" t="str">
        <f t="shared" si="18"/>
        <v/>
      </c>
      <c r="D418" s="45" t="str">
        <f>IF(A419&gt;0,C418/'Output Report'!$H$70,"")</f>
        <v/>
      </c>
      <c r="E418" s="46" t="str">
        <f>IF(A419&gt;0,SUM($D$2:D418),"")</f>
        <v/>
      </c>
      <c r="F418" t="str">
        <f t="shared" si="19"/>
        <v/>
      </c>
      <c r="G418" t="str">
        <f t="shared" si="20"/>
        <v/>
      </c>
    </row>
    <row r="419" spans="1:7" x14ac:dyDescent="0.3">
      <c r="A419">
        <f>IF('Output Report'!$H$71+2&gt;ROW(A418),ROW(A418),0)</f>
        <v>0</v>
      </c>
      <c r="B419" t="str">
        <f>IF(AND(A419&gt;0,A419&lt;='Output Report'!$H$71+1),B418+MC_hist!$M$11/'Output Report'!$H$71,"")</f>
        <v/>
      </c>
      <c r="C419" t="str">
        <f t="shared" si="18"/>
        <v/>
      </c>
      <c r="D419" s="45" t="str">
        <f>IF(A420&gt;0,C419/'Output Report'!$H$70,"")</f>
        <v/>
      </c>
      <c r="E419" s="46" t="str">
        <f>IF(A420&gt;0,SUM($D$2:D419),"")</f>
        <v/>
      </c>
      <c r="F419" t="str">
        <f t="shared" si="19"/>
        <v/>
      </c>
      <c r="G419" t="str">
        <f t="shared" si="20"/>
        <v/>
      </c>
    </row>
    <row r="420" spans="1:7" x14ac:dyDescent="0.3">
      <c r="A420">
        <f>IF('Output Report'!$H$71+2&gt;ROW(A419),ROW(A419),0)</f>
        <v>0</v>
      </c>
      <c r="B420" t="str">
        <f>IF(AND(A420&gt;0,A420&lt;='Output Report'!$H$71+1),B419+MC_hist!$M$11/'Output Report'!$H$71,"")</f>
        <v/>
      </c>
      <c r="C420" t="str">
        <f t="shared" si="18"/>
        <v/>
      </c>
      <c r="D420" s="45" t="str">
        <f>IF(A421&gt;0,C420/'Output Report'!$H$70,"")</f>
        <v/>
      </c>
      <c r="E420" s="46" t="str">
        <f>IF(A421&gt;0,SUM($D$2:D420),"")</f>
        <v/>
      </c>
      <c r="F420" t="str">
        <f t="shared" si="19"/>
        <v/>
      </c>
      <c r="G420" t="str">
        <f t="shared" si="20"/>
        <v/>
      </c>
    </row>
    <row r="421" spans="1:7" x14ac:dyDescent="0.3">
      <c r="A421">
        <f>IF('Output Report'!$H$71+2&gt;ROW(A420),ROW(A420),0)</f>
        <v>0</v>
      </c>
      <c r="B421" t="str">
        <f>IF(AND(A421&gt;0,A421&lt;='Output Report'!$H$71+1),B420+MC_hist!$M$11/'Output Report'!$H$71,"")</f>
        <v/>
      </c>
      <c r="C421" t="str">
        <f t="shared" si="18"/>
        <v/>
      </c>
      <c r="D421" s="45" t="str">
        <f>IF(A422&gt;0,C421/'Output Report'!$H$70,"")</f>
        <v/>
      </c>
      <c r="E421" s="46" t="str">
        <f>IF(A422&gt;0,SUM($D$2:D421),"")</f>
        <v/>
      </c>
      <c r="F421" t="str">
        <f t="shared" si="19"/>
        <v/>
      </c>
      <c r="G421" t="str">
        <f t="shared" si="20"/>
        <v/>
      </c>
    </row>
    <row r="422" spans="1:7" x14ac:dyDescent="0.3">
      <c r="A422">
        <f>IF('Output Report'!$H$71+2&gt;ROW(A421),ROW(A421),0)</f>
        <v>0</v>
      </c>
      <c r="B422" t="str">
        <f>IF(AND(A422&gt;0,A422&lt;='Output Report'!$H$71+1),B421+MC_hist!$M$11/'Output Report'!$H$71,"")</f>
        <v/>
      </c>
      <c r="C422" t="str">
        <f t="shared" si="18"/>
        <v/>
      </c>
      <c r="D422" s="45" t="str">
        <f>IF(A423&gt;0,C422/'Output Report'!$H$70,"")</f>
        <v/>
      </c>
      <c r="E422" s="46" t="str">
        <f>IF(A423&gt;0,SUM($D$2:D422),"")</f>
        <v/>
      </c>
      <c r="F422" t="str">
        <f t="shared" si="19"/>
        <v/>
      </c>
      <c r="G422" t="str">
        <f t="shared" si="20"/>
        <v/>
      </c>
    </row>
    <row r="423" spans="1:7" x14ac:dyDescent="0.3">
      <c r="A423">
        <f>IF('Output Report'!$H$71+2&gt;ROW(A422),ROW(A422),0)</f>
        <v>0</v>
      </c>
      <c r="B423" t="str">
        <f>IF(AND(A423&gt;0,A423&lt;='Output Report'!$H$71+1),B422+MC_hist!$M$11/'Output Report'!$H$71,"")</f>
        <v/>
      </c>
      <c r="C423" t="str">
        <f t="shared" si="18"/>
        <v/>
      </c>
      <c r="D423" s="45" t="str">
        <f>IF(A424&gt;0,C423/'Output Report'!$H$70,"")</f>
        <v/>
      </c>
      <c r="E423" s="46" t="str">
        <f>IF(A424&gt;0,SUM($D$2:D423),"")</f>
        <v/>
      </c>
      <c r="F423" t="str">
        <f t="shared" si="19"/>
        <v/>
      </c>
      <c r="G423" t="str">
        <f t="shared" si="20"/>
        <v/>
      </c>
    </row>
    <row r="424" spans="1:7" x14ac:dyDescent="0.3">
      <c r="A424">
        <f>IF('Output Report'!$H$71+2&gt;ROW(A423),ROW(A423),0)</f>
        <v>0</v>
      </c>
      <c r="B424" t="str">
        <f>IF(AND(A424&gt;0,A424&lt;='Output Report'!$H$71+1),B423+MC_hist!$M$11/'Output Report'!$H$71,"")</f>
        <v/>
      </c>
      <c r="C424" t="str">
        <f t="shared" si="18"/>
        <v/>
      </c>
      <c r="D424" s="45" t="str">
        <f>IF(A425&gt;0,C424/'Output Report'!$H$70,"")</f>
        <v/>
      </c>
      <c r="E424" s="46" t="str">
        <f>IF(A425&gt;0,SUM($D$2:D424),"")</f>
        <v/>
      </c>
      <c r="F424" t="str">
        <f t="shared" si="19"/>
        <v/>
      </c>
      <c r="G424" t="str">
        <f t="shared" si="20"/>
        <v/>
      </c>
    </row>
    <row r="425" spans="1:7" x14ac:dyDescent="0.3">
      <c r="A425">
        <f>IF('Output Report'!$H$71+2&gt;ROW(A424),ROW(A424),0)</f>
        <v>0</v>
      </c>
      <c r="B425" t="str">
        <f>IF(AND(A425&gt;0,A425&lt;='Output Report'!$H$71+1),B424+MC_hist!$M$11/'Output Report'!$H$71,"")</f>
        <v/>
      </c>
      <c r="C425" t="str">
        <f t="shared" si="18"/>
        <v/>
      </c>
      <c r="D425" s="45" t="str">
        <f>IF(A426&gt;0,C425/'Output Report'!$H$70,"")</f>
        <v/>
      </c>
      <c r="E425" s="46" t="str">
        <f>IF(A426&gt;0,SUM($D$2:D425),"")</f>
        <v/>
      </c>
      <c r="F425" t="str">
        <f t="shared" si="19"/>
        <v/>
      </c>
      <c r="G425" t="str">
        <f t="shared" si="20"/>
        <v/>
      </c>
    </row>
    <row r="426" spans="1:7" x14ac:dyDescent="0.3">
      <c r="A426">
        <f>IF('Output Report'!$H$71+2&gt;ROW(A425),ROW(A425),0)</f>
        <v>0</v>
      </c>
      <c r="B426" t="str">
        <f>IF(AND(A426&gt;0,A426&lt;='Output Report'!$H$71+1),B425+MC_hist!$M$11/'Output Report'!$H$71,"")</f>
        <v/>
      </c>
      <c r="C426" t="str">
        <f t="shared" si="18"/>
        <v/>
      </c>
      <c r="D426" s="45" t="str">
        <f>IF(A427&gt;0,C426/'Output Report'!$H$70,"")</f>
        <v/>
      </c>
      <c r="E426" s="46" t="str">
        <f>IF(A427&gt;0,SUM($D$2:D426),"")</f>
        <v/>
      </c>
      <c r="F426" t="str">
        <f t="shared" si="19"/>
        <v/>
      </c>
      <c r="G426" t="str">
        <f t="shared" si="20"/>
        <v/>
      </c>
    </row>
    <row r="427" spans="1:7" x14ac:dyDescent="0.3">
      <c r="A427">
        <f>IF('Output Report'!$H$71+2&gt;ROW(A426),ROW(A426),0)</f>
        <v>0</v>
      </c>
      <c r="B427" t="str">
        <f>IF(AND(A427&gt;0,A427&lt;='Output Report'!$H$71+1),B426+MC_hist!$M$11/'Output Report'!$H$71,"")</f>
        <v/>
      </c>
      <c r="C427" t="str">
        <f t="shared" si="18"/>
        <v/>
      </c>
      <c r="D427" s="45" t="str">
        <f>IF(A428&gt;0,C427/'Output Report'!$H$70,"")</f>
        <v/>
      </c>
      <c r="E427" s="46" t="str">
        <f>IF(A428&gt;0,SUM($D$2:D427),"")</f>
        <v/>
      </c>
      <c r="F427" t="str">
        <f t="shared" si="19"/>
        <v/>
      </c>
      <c r="G427" t="str">
        <f t="shared" si="20"/>
        <v/>
      </c>
    </row>
    <row r="428" spans="1:7" x14ac:dyDescent="0.3">
      <c r="A428">
        <f>IF('Output Report'!$H$71+2&gt;ROW(A427),ROW(A427),0)</f>
        <v>0</v>
      </c>
      <c r="B428" t="str">
        <f>IF(AND(A428&gt;0,A428&lt;='Output Report'!$H$71+1),B427+MC_hist!$M$11/'Output Report'!$H$71,"")</f>
        <v/>
      </c>
      <c r="C428" t="str">
        <f t="shared" si="18"/>
        <v/>
      </c>
      <c r="D428" s="45" t="str">
        <f>IF(A429&gt;0,C428/'Output Report'!$H$70,"")</f>
        <v/>
      </c>
      <c r="E428" s="46" t="str">
        <f>IF(A429&gt;0,SUM($D$2:D428),"")</f>
        <v/>
      </c>
      <c r="F428" t="str">
        <f t="shared" si="19"/>
        <v/>
      </c>
      <c r="G428" t="str">
        <f t="shared" si="20"/>
        <v/>
      </c>
    </row>
    <row r="429" spans="1:7" x14ac:dyDescent="0.3">
      <c r="A429">
        <f>IF('Output Report'!$H$71+2&gt;ROW(A428),ROW(A428),0)</f>
        <v>0</v>
      </c>
      <c r="B429" t="str">
        <f>IF(AND(A429&gt;0,A429&lt;='Output Report'!$H$71+1),B428+MC_hist!$M$11/'Output Report'!$H$71,"")</f>
        <v/>
      </c>
      <c r="C429" t="str">
        <f t="shared" si="18"/>
        <v/>
      </c>
      <c r="D429" s="45" t="str">
        <f>IF(A430&gt;0,C429/'Output Report'!$H$70,"")</f>
        <v/>
      </c>
      <c r="E429" s="46" t="str">
        <f>IF(A430&gt;0,SUM($D$2:D429),"")</f>
        <v/>
      </c>
      <c r="F429" t="str">
        <f t="shared" si="19"/>
        <v/>
      </c>
      <c r="G429" t="str">
        <f t="shared" si="20"/>
        <v/>
      </c>
    </row>
    <row r="430" spans="1:7" x14ac:dyDescent="0.3">
      <c r="A430">
        <f>IF('Output Report'!$H$71+2&gt;ROW(A429),ROW(A429),0)</f>
        <v>0</v>
      </c>
      <c r="B430" t="str">
        <f>IF(AND(A430&gt;0,A430&lt;='Output Report'!$H$71+1),B429+MC_hist!$M$11/'Output Report'!$H$71,"")</f>
        <v/>
      </c>
      <c r="C430" t="str">
        <f t="shared" ref="C430:C493" si="21">IF(A431&gt;0,COUNTIFS(data_sim,"&gt;"&amp;B430,data_sim,"&lt;="&amp;B431),"")</f>
        <v/>
      </c>
      <c r="D430" s="45" t="str">
        <f>IF(A431&gt;0,C430/'Output Report'!$H$70,"")</f>
        <v/>
      </c>
      <c r="E430" s="46" t="str">
        <f>IF(A431&gt;0,SUM($D$2:D430),"")</f>
        <v/>
      </c>
      <c r="F430" t="str">
        <f t="shared" ref="F430:F493" si="22">IF(B430&lt;=0,D430,"")</f>
        <v/>
      </c>
      <c r="G430" t="str">
        <f t="shared" si="20"/>
        <v/>
      </c>
    </row>
    <row r="431" spans="1:7" x14ac:dyDescent="0.3">
      <c r="A431">
        <f>IF('Output Report'!$H$71+2&gt;ROW(A430),ROW(A430),0)</f>
        <v>0</v>
      </c>
      <c r="B431" t="str">
        <f>IF(AND(A431&gt;0,A431&lt;='Output Report'!$H$71+1),B430+MC_hist!$M$11/'Output Report'!$H$71,"")</f>
        <v/>
      </c>
      <c r="C431" t="str">
        <f t="shared" si="21"/>
        <v/>
      </c>
      <c r="D431" s="45" t="str">
        <f>IF(A432&gt;0,C431/'Output Report'!$H$70,"")</f>
        <v/>
      </c>
      <c r="E431" s="46" t="str">
        <f>IF(A432&gt;0,SUM($D$2:D431),"")</f>
        <v/>
      </c>
      <c r="F431" t="str">
        <f t="shared" si="22"/>
        <v/>
      </c>
      <c r="G431" t="str">
        <f t="shared" si="20"/>
        <v/>
      </c>
    </row>
    <row r="432" spans="1:7" x14ac:dyDescent="0.3">
      <c r="A432">
        <f>IF('Output Report'!$H$71+2&gt;ROW(A431),ROW(A431),0)</f>
        <v>0</v>
      </c>
      <c r="B432" t="str">
        <f>IF(AND(A432&gt;0,A432&lt;='Output Report'!$H$71+1),B431+MC_hist!$M$11/'Output Report'!$H$71,"")</f>
        <v/>
      </c>
      <c r="C432" t="str">
        <f t="shared" si="21"/>
        <v/>
      </c>
      <c r="D432" s="45" t="str">
        <f>IF(A433&gt;0,C432/'Output Report'!$H$70,"")</f>
        <v/>
      </c>
      <c r="E432" s="46" t="str">
        <f>IF(A433&gt;0,SUM($D$2:D432),"")</f>
        <v/>
      </c>
      <c r="F432" t="str">
        <f t="shared" si="22"/>
        <v/>
      </c>
      <c r="G432" t="str">
        <f t="shared" si="20"/>
        <v/>
      </c>
    </row>
    <row r="433" spans="1:7" x14ac:dyDescent="0.3">
      <c r="A433">
        <f>IF('Output Report'!$H$71+2&gt;ROW(A432),ROW(A432),0)</f>
        <v>0</v>
      </c>
      <c r="B433" t="str">
        <f>IF(AND(A433&gt;0,A433&lt;='Output Report'!$H$71+1),B432+MC_hist!$M$11/'Output Report'!$H$71,"")</f>
        <v/>
      </c>
      <c r="C433" t="str">
        <f t="shared" si="21"/>
        <v/>
      </c>
      <c r="D433" s="45" t="str">
        <f>IF(A434&gt;0,C433/'Output Report'!$H$70,"")</f>
        <v/>
      </c>
      <c r="E433" s="46" t="str">
        <f>IF(A434&gt;0,SUM($D$2:D433),"")</f>
        <v/>
      </c>
      <c r="F433" t="str">
        <f t="shared" si="22"/>
        <v/>
      </c>
      <c r="G433" t="str">
        <f t="shared" si="20"/>
        <v/>
      </c>
    </row>
    <row r="434" spans="1:7" x14ac:dyDescent="0.3">
      <c r="A434">
        <f>IF('Output Report'!$H$71+2&gt;ROW(A433),ROW(A433),0)</f>
        <v>0</v>
      </c>
      <c r="B434" t="str">
        <f>IF(AND(A434&gt;0,A434&lt;='Output Report'!$H$71+1),B433+MC_hist!$M$11/'Output Report'!$H$71,"")</f>
        <v/>
      </c>
      <c r="C434" t="str">
        <f t="shared" si="21"/>
        <v/>
      </c>
      <c r="D434" s="45" t="str">
        <f>IF(A435&gt;0,C434/'Output Report'!$H$70,"")</f>
        <v/>
      </c>
      <c r="E434" s="46" t="str">
        <f>IF(A435&gt;0,SUM($D$2:D434),"")</f>
        <v/>
      </c>
      <c r="F434" t="str">
        <f t="shared" si="22"/>
        <v/>
      </c>
      <c r="G434" t="str">
        <f t="shared" si="20"/>
        <v/>
      </c>
    </row>
    <row r="435" spans="1:7" x14ac:dyDescent="0.3">
      <c r="A435">
        <f>IF('Output Report'!$H$71+2&gt;ROW(A434),ROW(A434),0)</f>
        <v>0</v>
      </c>
      <c r="B435" t="str">
        <f>IF(AND(A435&gt;0,A435&lt;='Output Report'!$H$71+1),B434+MC_hist!$M$11/'Output Report'!$H$71,"")</f>
        <v/>
      </c>
      <c r="C435" t="str">
        <f t="shared" si="21"/>
        <v/>
      </c>
      <c r="D435" s="45" t="str">
        <f>IF(A436&gt;0,C435/'Output Report'!$H$70,"")</f>
        <v/>
      </c>
      <c r="E435" s="46" t="str">
        <f>IF(A436&gt;0,SUM($D$2:D435),"")</f>
        <v/>
      </c>
      <c r="F435" t="str">
        <f t="shared" si="22"/>
        <v/>
      </c>
      <c r="G435" t="str">
        <f t="shared" si="20"/>
        <v/>
      </c>
    </row>
    <row r="436" spans="1:7" x14ac:dyDescent="0.3">
      <c r="A436">
        <f>IF('Output Report'!$H$71+2&gt;ROW(A435),ROW(A435),0)</f>
        <v>0</v>
      </c>
      <c r="B436" t="str">
        <f>IF(AND(A436&gt;0,A436&lt;='Output Report'!$H$71+1),B435+MC_hist!$M$11/'Output Report'!$H$71,"")</f>
        <v/>
      </c>
      <c r="C436" t="str">
        <f t="shared" si="21"/>
        <v/>
      </c>
      <c r="D436" s="45" t="str">
        <f>IF(A437&gt;0,C436/'Output Report'!$H$70,"")</f>
        <v/>
      </c>
      <c r="E436" s="46" t="str">
        <f>IF(A437&gt;0,SUM($D$2:D436),"")</f>
        <v/>
      </c>
      <c r="F436" t="str">
        <f t="shared" si="22"/>
        <v/>
      </c>
      <c r="G436" t="str">
        <f t="shared" si="20"/>
        <v/>
      </c>
    </row>
    <row r="437" spans="1:7" x14ac:dyDescent="0.3">
      <c r="A437">
        <f>IF('Output Report'!$H$71+2&gt;ROW(A436),ROW(A436),0)</f>
        <v>0</v>
      </c>
      <c r="B437" t="str">
        <f>IF(AND(A437&gt;0,A437&lt;='Output Report'!$H$71+1),B436+MC_hist!$M$11/'Output Report'!$H$71,"")</f>
        <v/>
      </c>
      <c r="C437" t="str">
        <f t="shared" si="21"/>
        <v/>
      </c>
      <c r="D437" s="45" t="str">
        <f>IF(A438&gt;0,C437/'Output Report'!$H$70,"")</f>
        <v/>
      </c>
      <c r="E437" s="46" t="str">
        <f>IF(A438&gt;0,SUM($D$2:D437),"")</f>
        <v/>
      </c>
      <c r="F437" t="str">
        <f t="shared" si="22"/>
        <v/>
      </c>
      <c r="G437" t="str">
        <f t="shared" si="20"/>
        <v/>
      </c>
    </row>
    <row r="438" spans="1:7" x14ac:dyDescent="0.3">
      <c r="A438">
        <f>IF('Output Report'!$H$71+2&gt;ROW(A437),ROW(A437),0)</f>
        <v>0</v>
      </c>
      <c r="B438" t="str">
        <f>IF(AND(A438&gt;0,A438&lt;='Output Report'!$H$71+1),B437+MC_hist!$M$11/'Output Report'!$H$71,"")</f>
        <v/>
      </c>
      <c r="C438" t="str">
        <f t="shared" si="21"/>
        <v/>
      </c>
      <c r="D438" s="45" t="str">
        <f>IF(A439&gt;0,C438/'Output Report'!$H$70,"")</f>
        <v/>
      </c>
      <c r="E438" s="46" t="str">
        <f>IF(A439&gt;0,SUM($D$2:D438),"")</f>
        <v/>
      </c>
      <c r="F438" t="str">
        <f t="shared" si="22"/>
        <v/>
      </c>
      <c r="G438" t="str">
        <f t="shared" si="20"/>
        <v/>
      </c>
    </row>
    <row r="439" spans="1:7" x14ac:dyDescent="0.3">
      <c r="A439">
        <f>IF('Output Report'!$H$71+2&gt;ROW(A438),ROW(A438),0)</f>
        <v>0</v>
      </c>
      <c r="B439" t="str">
        <f>IF(AND(A439&gt;0,A439&lt;='Output Report'!$H$71+1),B438+MC_hist!$M$11/'Output Report'!$H$71,"")</f>
        <v/>
      </c>
      <c r="C439" t="str">
        <f t="shared" si="21"/>
        <v/>
      </c>
      <c r="D439" s="45" t="str">
        <f>IF(A440&gt;0,C439/'Output Report'!$H$70,"")</f>
        <v/>
      </c>
      <c r="E439" s="46" t="str">
        <f>IF(A440&gt;0,SUM($D$2:D439),"")</f>
        <v/>
      </c>
      <c r="F439" t="str">
        <f t="shared" si="22"/>
        <v/>
      </c>
      <c r="G439" t="str">
        <f t="shared" si="20"/>
        <v/>
      </c>
    </row>
    <row r="440" spans="1:7" x14ac:dyDescent="0.3">
      <c r="A440">
        <f>IF('Output Report'!$H$71+2&gt;ROW(A439),ROW(A439),0)</f>
        <v>0</v>
      </c>
      <c r="B440" t="str">
        <f>IF(AND(A440&gt;0,A440&lt;='Output Report'!$H$71+1),B439+MC_hist!$M$11/'Output Report'!$H$71,"")</f>
        <v/>
      </c>
      <c r="C440" t="str">
        <f t="shared" si="21"/>
        <v/>
      </c>
      <c r="D440" s="45" t="str">
        <f>IF(A441&gt;0,C440/'Output Report'!$H$70,"")</f>
        <v/>
      </c>
      <c r="E440" s="46" t="str">
        <f>IF(A441&gt;0,SUM($D$2:D440),"")</f>
        <v/>
      </c>
      <c r="F440" t="str">
        <f t="shared" si="22"/>
        <v/>
      </c>
      <c r="G440" t="str">
        <f t="shared" si="20"/>
        <v/>
      </c>
    </row>
    <row r="441" spans="1:7" x14ac:dyDescent="0.3">
      <c r="A441">
        <f>IF('Output Report'!$H$71+2&gt;ROW(A440),ROW(A440),0)</f>
        <v>0</v>
      </c>
      <c r="B441" t="str">
        <f>IF(AND(A441&gt;0,A441&lt;='Output Report'!$H$71+1),B440+MC_hist!$M$11/'Output Report'!$H$71,"")</f>
        <v/>
      </c>
      <c r="C441" t="str">
        <f t="shared" si="21"/>
        <v/>
      </c>
      <c r="D441" s="45" t="str">
        <f>IF(A442&gt;0,C441/'Output Report'!$H$70,"")</f>
        <v/>
      </c>
      <c r="E441" s="46" t="str">
        <f>IF(A442&gt;0,SUM($D$2:D441),"")</f>
        <v/>
      </c>
      <c r="F441" t="str">
        <f t="shared" si="22"/>
        <v/>
      </c>
      <c r="G441" t="str">
        <f t="shared" si="20"/>
        <v/>
      </c>
    </row>
    <row r="442" spans="1:7" x14ac:dyDescent="0.3">
      <c r="A442">
        <f>IF('Output Report'!$H$71+2&gt;ROW(A441),ROW(A441),0)</f>
        <v>0</v>
      </c>
      <c r="B442" t="str">
        <f>IF(AND(A442&gt;0,A442&lt;='Output Report'!$H$71+1),B441+MC_hist!$M$11/'Output Report'!$H$71,"")</f>
        <v/>
      </c>
      <c r="C442" t="str">
        <f t="shared" si="21"/>
        <v/>
      </c>
      <c r="D442" s="45" t="str">
        <f>IF(A443&gt;0,C442/'Output Report'!$H$70,"")</f>
        <v/>
      </c>
      <c r="E442" s="46" t="str">
        <f>IF(A443&gt;0,SUM($D$2:D442),"")</f>
        <v/>
      </c>
      <c r="F442" t="str">
        <f t="shared" si="22"/>
        <v/>
      </c>
      <c r="G442" t="str">
        <f t="shared" si="20"/>
        <v/>
      </c>
    </row>
    <row r="443" spans="1:7" x14ac:dyDescent="0.3">
      <c r="A443">
        <f>IF('Output Report'!$H$71+2&gt;ROW(A442),ROW(A442),0)</f>
        <v>0</v>
      </c>
      <c r="B443" t="str">
        <f>IF(AND(A443&gt;0,A443&lt;='Output Report'!$H$71+1),B442+MC_hist!$M$11/'Output Report'!$H$71,"")</f>
        <v/>
      </c>
      <c r="C443" t="str">
        <f t="shared" si="21"/>
        <v/>
      </c>
      <c r="D443" s="45" t="str">
        <f>IF(A444&gt;0,C443/'Output Report'!$H$70,"")</f>
        <v/>
      </c>
      <c r="E443" s="46" t="str">
        <f>IF(A444&gt;0,SUM($D$2:D443),"")</f>
        <v/>
      </c>
      <c r="F443" t="str">
        <f t="shared" si="22"/>
        <v/>
      </c>
      <c r="G443" t="str">
        <f t="shared" si="20"/>
        <v/>
      </c>
    </row>
    <row r="444" spans="1:7" x14ac:dyDescent="0.3">
      <c r="A444">
        <f>IF('Output Report'!$H$71+2&gt;ROW(A443),ROW(A443),0)</f>
        <v>0</v>
      </c>
      <c r="B444" t="str">
        <f>IF(AND(A444&gt;0,A444&lt;='Output Report'!$H$71+1),B443+MC_hist!$M$11/'Output Report'!$H$71,"")</f>
        <v/>
      </c>
      <c r="C444" t="str">
        <f t="shared" si="21"/>
        <v/>
      </c>
      <c r="D444" s="45" t="str">
        <f>IF(A445&gt;0,C444/'Output Report'!$H$70,"")</f>
        <v/>
      </c>
      <c r="E444" s="46" t="str">
        <f>IF(A445&gt;0,SUM($D$2:D444),"")</f>
        <v/>
      </c>
      <c r="F444" t="str">
        <f t="shared" si="22"/>
        <v/>
      </c>
      <c r="G444" t="str">
        <f t="shared" si="20"/>
        <v/>
      </c>
    </row>
    <row r="445" spans="1:7" x14ac:dyDescent="0.3">
      <c r="A445">
        <f>IF('Output Report'!$H$71+2&gt;ROW(A444),ROW(A444),0)</f>
        <v>0</v>
      </c>
      <c r="B445" t="str">
        <f>IF(AND(A445&gt;0,A445&lt;='Output Report'!$H$71+1),B444+MC_hist!$M$11/'Output Report'!$H$71,"")</f>
        <v/>
      </c>
      <c r="C445" t="str">
        <f t="shared" si="21"/>
        <v/>
      </c>
      <c r="D445" s="45" t="str">
        <f>IF(A446&gt;0,C445/'Output Report'!$H$70,"")</f>
        <v/>
      </c>
      <c r="E445" s="46" t="str">
        <f>IF(A446&gt;0,SUM($D$2:D445),"")</f>
        <v/>
      </c>
      <c r="F445" t="str">
        <f t="shared" si="22"/>
        <v/>
      </c>
      <c r="G445" t="str">
        <f t="shared" si="20"/>
        <v/>
      </c>
    </row>
    <row r="446" spans="1:7" x14ac:dyDescent="0.3">
      <c r="A446">
        <f>IF('Output Report'!$H$71+2&gt;ROW(A445),ROW(A445),0)</f>
        <v>0</v>
      </c>
      <c r="B446" t="str">
        <f>IF(AND(A446&gt;0,A446&lt;='Output Report'!$H$71+1),B445+MC_hist!$M$11/'Output Report'!$H$71,"")</f>
        <v/>
      </c>
      <c r="C446" t="str">
        <f t="shared" si="21"/>
        <v/>
      </c>
      <c r="D446" s="45" t="str">
        <f>IF(A447&gt;0,C446/'Output Report'!$H$70,"")</f>
        <v/>
      </c>
      <c r="E446" s="46" t="str">
        <f>IF(A447&gt;0,SUM($D$2:D446),"")</f>
        <v/>
      </c>
      <c r="F446" t="str">
        <f t="shared" si="22"/>
        <v/>
      </c>
      <c r="G446" t="str">
        <f t="shared" si="20"/>
        <v/>
      </c>
    </row>
    <row r="447" spans="1:7" x14ac:dyDescent="0.3">
      <c r="A447">
        <f>IF('Output Report'!$H$71+2&gt;ROW(A446),ROW(A446),0)</f>
        <v>0</v>
      </c>
      <c r="B447" t="str">
        <f>IF(AND(A447&gt;0,A447&lt;='Output Report'!$H$71+1),B446+MC_hist!$M$11/'Output Report'!$H$71,"")</f>
        <v/>
      </c>
      <c r="C447" t="str">
        <f t="shared" si="21"/>
        <v/>
      </c>
      <c r="D447" s="45" t="str">
        <f>IF(A448&gt;0,C447/'Output Report'!$H$70,"")</f>
        <v/>
      </c>
      <c r="E447" s="46" t="str">
        <f>IF(A448&gt;0,SUM($D$2:D447),"")</f>
        <v/>
      </c>
      <c r="F447" t="str">
        <f t="shared" si="22"/>
        <v/>
      </c>
      <c r="G447" t="str">
        <f t="shared" si="20"/>
        <v/>
      </c>
    </row>
    <row r="448" spans="1:7" x14ac:dyDescent="0.3">
      <c r="A448">
        <f>IF('Output Report'!$H$71+2&gt;ROW(A447),ROW(A447),0)</f>
        <v>0</v>
      </c>
      <c r="B448" t="str">
        <f>IF(AND(A448&gt;0,A448&lt;='Output Report'!$H$71+1),B447+MC_hist!$M$11/'Output Report'!$H$71,"")</f>
        <v/>
      </c>
      <c r="C448" t="str">
        <f t="shared" si="21"/>
        <v/>
      </c>
      <c r="D448" s="45" t="str">
        <f>IF(A449&gt;0,C448/'Output Report'!$H$70,"")</f>
        <v/>
      </c>
      <c r="E448" s="46" t="str">
        <f>IF(A449&gt;0,SUM($D$2:D448),"")</f>
        <v/>
      </c>
      <c r="F448" t="str">
        <f t="shared" si="22"/>
        <v/>
      </c>
      <c r="G448" t="str">
        <f t="shared" si="20"/>
        <v/>
      </c>
    </row>
    <row r="449" spans="1:7" x14ac:dyDescent="0.3">
      <c r="A449">
        <f>IF('Output Report'!$H$71+2&gt;ROW(A448),ROW(A448),0)</f>
        <v>0</v>
      </c>
      <c r="B449" t="str">
        <f>IF(AND(A449&gt;0,A449&lt;='Output Report'!$H$71+1),B448+MC_hist!$M$11/'Output Report'!$H$71,"")</f>
        <v/>
      </c>
      <c r="C449" t="str">
        <f t="shared" si="21"/>
        <v/>
      </c>
      <c r="D449" s="45" t="str">
        <f>IF(A450&gt;0,C449/'Output Report'!$H$70,"")</f>
        <v/>
      </c>
      <c r="E449" s="46" t="str">
        <f>IF(A450&gt;0,SUM($D$2:D449),"")</f>
        <v/>
      </c>
      <c r="F449" t="str">
        <f t="shared" si="22"/>
        <v/>
      </c>
      <c r="G449" t="str">
        <f t="shared" si="20"/>
        <v/>
      </c>
    </row>
    <row r="450" spans="1:7" x14ac:dyDescent="0.3">
      <c r="A450">
        <f>IF('Output Report'!$H$71+2&gt;ROW(A449),ROW(A449),0)</f>
        <v>0</v>
      </c>
      <c r="B450" t="str">
        <f>IF(AND(A450&gt;0,A450&lt;='Output Report'!$H$71+1),B449+MC_hist!$M$11/'Output Report'!$H$71,"")</f>
        <v/>
      </c>
      <c r="C450" t="str">
        <f t="shared" si="21"/>
        <v/>
      </c>
      <c r="D450" s="45" t="str">
        <f>IF(A451&gt;0,C450/'Output Report'!$H$70,"")</f>
        <v/>
      </c>
      <c r="E450" s="46" t="str">
        <f>IF(A451&gt;0,SUM($D$2:D450),"")</f>
        <v/>
      </c>
      <c r="F450" t="str">
        <f t="shared" si="22"/>
        <v/>
      </c>
      <c r="G450" t="str">
        <f t="shared" si="20"/>
        <v/>
      </c>
    </row>
    <row r="451" spans="1:7" x14ac:dyDescent="0.3">
      <c r="A451">
        <f>IF('Output Report'!$H$71+2&gt;ROW(A450),ROW(A450),0)</f>
        <v>0</v>
      </c>
      <c r="B451" t="str">
        <f>IF(AND(A451&gt;0,A451&lt;='Output Report'!$H$71+1),B450+MC_hist!$M$11/'Output Report'!$H$71,"")</f>
        <v/>
      </c>
      <c r="C451" t="str">
        <f t="shared" si="21"/>
        <v/>
      </c>
      <c r="D451" s="45" t="str">
        <f>IF(A452&gt;0,C451/'Output Report'!$H$70,"")</f>
        <v/>
      </c>
      <c r="E451" s="46" t="str">
        <f>IF(A452&gt;0,SUM($D$2:D451),"")</f>
        <v/>
      </c>
      <c r="F451" t="str">
        <f t="shared" si="22"/>
        <v/>
      </c>
      <c r="G451" t="str">
        <f t="shared" ref="G451:G514" si="23">IF(B451&lt;=0,E451,"")</f>
        <v/>
      </c>
    </row>
    <row r="452" spans="1:7" x14ac:dyDescent="0.3">
      <c r="A452">
        <f>IF('Output Report'!$H$71+2&gt;ROW(A451),ROW(A451),0)</f>
        <v>0</v>
      </c>
      <c r="B452" t="str">
        <f>IF(AND(A452&gt;0,A452&lt;='Output Report'!$H$71+1),B451+MC_hist!$M$11/'Output Report'!$H$71,"")</f>
        <v/>
      </c>
      <c r="C452" t="str">
        <f t="shared" si="21"/>
        <v/>
      </c>
      <c r="D452" s="45" t="str">
        <f>IF(A453&gt;0,C452/'Output Report'!$H$70,"")</f>
        <v/>
      </c>
      <c r="E452" s="46" t="str">
        <f>IF(A453&gt;0,SUM($D$2:D452),"")</f>
        <v/>
      </c>
      <c r="F452" t="str">
        <f t="shared" si="22"/>
        <v/>
      </c>
      <c r="G452" t="str">
        <f t="shared" si="23"/>
        <v/>
      </c>
    </row>
    <row r="453" spans="1:7" x14ac:dyDescent="0.3">
      <c r="A453">
        <f>IF('Output Report'!$H$71+2&gt;ROW(A452),ROW(A452),0)</f>
        <v>0</v>
      </c>
      <c r="B453" t="str">
        <f>IF(AND(A453&gt;0,A453&lt;='Output Report'!$H$71+1),B452+MC_hist!$M$11/'Output Report'!$H$71,"")</f>
        <v/>
      </c>
      <c r="C453" t="str">
        <f t="shared" si="21"/>
        <v/>
      </c>
      <c r="D453" s="45" t="str">
        <f>IF(A454&gt;0,C453/'Output Report'!$H$70,"")</f>
        <v/>
      </c>
      <c r="E453" s="46" t="str">
        <f>IF(A454&gt;0,SUM($D$2:D453),"")</f>
        <v/>
      </c>
      <c r="F453" t="str">
        <f t="shared" si="22"/>
        <v/>
      </c>
      <c r="G453" t="str">
        <f t="shared" si="23"/>
        <v/>
      </c>
    </row>
    <row r="454" spans="1:7" x14ac:dyDescent="0.3">
      <c r="A454">
        <f>IF('Output Report'!$H$71+2&gt;ROW(A453),ROW(A453),0)</f>
        <v>0</v>
      </c>
      <c r="B454" t="str">
        <f>IF(AND(A454&gt;0,A454&lt;='Output Report'!$H$71+1),B453+MC_hist!$M$11/'Output Report'!$H$71,"")</f>
        <v/>
      </c>
      <c r="C454" t="str">
        <f t="shared" si="21"/>
        <v/>
      </c>
      <c r="D454" s="45" t="str">
        <f>IF(A455&gt;0,C454/'Output Report'!$H$70,"")</f>
        <v/>
      </c>
      <c r="E454" s="46" t="str">
        <f>IF(A455&gt;0,SUM($D$2:D454),"")</f>
        <v/>
      </c>
      <c r="F454" t="str">
        <f t="shared" si="22"/>
        <v/>
      </c>
      <c r="G454" t="str">
        <f t="shared" si="23"/>
        <v/>
      </c>
    </row>
    <row r="455" spans="1:7" x14ac:dyDescent="0.3">
      <c r="A455">
        <f>IF('Output Report'!$H$71+2&gt;ROW(A454),ROW(A454),0)</f>
        <v>0</v>
      </c>
      <c r="B455" t="str">
        <f>IF(AND(A455&gt;0,A455&lt;='Output Report'!$H$71+1),B454+MC_hist!$M$11/'Output Report'!$H$71,"")</f>
        <v/>
      </c>
      <c r="C455" t="str">
        <f t="shared" si="21"/>
        <v/>
      </c>
      <c r="D455" s="45" t="str">
        <f>IF(A456&gt;0,C455/'Output Report'!$H$70,"")</f>
        <v/>
      </c>
      <c r="E455" s="46" t="str">
        <f>IF(A456&gt;0,SUM($D$2:D455),"")</f>
        <v/>
      </c>
      <c r="F455" t="str">
        <f t="shared" si="22"/>
        <v/>
      </c>
      <c r="G455" t="str">
        <f t="shared" si="23"/>
        <v/>
      </c>
    </row>
    <row r="456" spans="1:7" x14ac:dyDescent="0.3">
      <c r="A456">
        <f>IF('Output Report'!$H$71+2&gt;ROW(A455),ROW(A455),0)</f>
        <v>0</v>
      </c>
      <c r="B456" t="str">
        <f>IF(AND(A456&gt;0,A456&lt;='Output Report'!$H$71+1),B455+MC_hist!$M$11/'Output Report'!$H$71,"")</f>
        <v/>
      </c>
      <c r="C456" t="str">
        <f t="shared" si="21"/>
        <v/>
      </c>
      <c r="D456" s="45" t="str">
        <f>IF(A457&gt;0,C456/'Output Report'!$H$70,"")</f>
        <v/>
      </c>
      <c r="E456" s="46" t="str">
        <f>IF(A457&gt;0,SUM($D$2:D456),"")</f>
        <v/>
      </c>
      <c r="F456" t="str">
        <f t="shared" si="22"/>
        <v/>
      </c>
      <c r="G456" t="str">
        <f t="shared" si="23"/>
        <v/>
      </c>
    </row>
    <row r="457" spans="1:7" x14ac:dyDescent="0.3">
      <c r="A457">
        <f>IF('Output Report'!$H$71+2&gt;ROW(A456),ROW(A456),0)</f>
        <v>0</v>
      </c>
      <c r="B457" t="str">
        <f>IF(AND(A457&gt;0,A457&lt;='Output Report'!$H$71+1),B456+MC_hist!$M$11/'Output Report'!$H$71,"")</f>
        <v/>
      </c>
      <c r="C457" t="str">
        <f t="shared" si="21"/>
        <v/>
      </c>
      <c r="D457" s="45" t="str">
        <f>IF(A458&gt;0,C457/'Output Report'!$H$70,"")</f>
        <v/>
      </c>
      <c r="E457" s="46" t="str">
        <f>IF(A458&gt;0,SUM($D$2:D457),"")</f>
        <v/>
      </c>
      <c r="F457" t="str">
        <f t="shared" si="22"/>
        <v/>
      </c>
      <c r="G457" t="str">
        <f t="shared" si="23"/>
        <v/>
      </c>
    </row>
    <row r="458" spans="1:7" x14ac:dyDescent="0.3">
      <c r="A458">
        <f>IF('Output Report'!$H$71+2&gt;ROW(A457),ROW(A457),0)</f>
        <v>0</v>
      </c>
      <c r="B458" t="str">
        <f>IF(AND(A458&gt;0,A458&lt;='Output Report'!$H$71+1),B457+MC_hist!$M$11/'Output Report'!$H$71,"")</f>
        <v/>
      </c>
      <c r="C458" t="str">
        <f t="shared" si="21"/>
        <v/>
      </c>
      <c r="D458" s="45" t="str">
        <f>IF(A459&gt;0,C458/'Output Report'!$H$70,"")</f>
        <v/>
      </c>
      <c r="E458" s="46" t="str">
        <f>IF(A459&gt;0,SUM($D$2:D458),"")</f>
        <v/>
      </c>
      <c r="F458" t="str">
        <f t="shared" si="22"/>
        <v/>
      </c>
      <c r="G458" t="str">
        <f t="shared" si="23"/>
        <v/>
      </c>
    </row>
    <row r="459" spans="1:7" x14ac:dyDescent="0.3">
      <c r="A459">
        <f>IF('Output Report'!$H$71+2&gt;ROW(A458),ROW(A458),0)</f>
        <v>0</v>
      </c>
      <c r="B459" t="str">
        <f>IF(AND(A459&gt;0,A459&lt;='Output Report'!$H$71+1),B458+MC_hist!$M$11/'Output Report'!$H$71,"")</f>
        <v/>
      </c>
      <c r="C459" t="str">
        <f t="shared" si="21"/>
        <v/>
      </c>
      <c r="D459" s="45" t="str">
        <f>IF(A460&gt;0,C459/'Output Report'!$H$70,"")</f>
        <v/>
      </c>
      <c r="E459" s="46" t="str">
        <f>IF(A460&gt;0,SUM($D$2:D459),"")</f>
        <v/>
      </c>
      <c r="F459" t="str">
        <f t="shared" si="22"/>
        <v/>
      </c>
      <c r="G459" t="str">
        <f t="shared" si="23"/>
        <v/>
      </c>
    </row>
    <row r="460" spans="1:7" x14ac:dyDescent="0.3">
      <c r="A460">
        <f>IF('Output Report'!$H$71+2&gt;ROW(A459),ROW(A459),0)</f>
        <v>0</v>
      </c>
      <c r="B460" t="str">
        <f>IF(AND(A460&gt;0,A460&lt;='Output Report'!$H$71+1),B459+MC_hist!$M$11/'Output Report'!$H$71,"")</f>
        <v/>
      </c>
      <c r="C460" t="str">
        <f t="shared" si="21"/>
        <v/>
      </c>
      <c r="D460" s="45" t="str">
        <f>IF(A461&gt;0,C460/'Output Report'!$H$70,"")</f>
        <v/>
      </c>
      <c r="E460" s="46" t="str">
        <f>IF(A461&gt;0,SUM($D$2:D460),"")</f>
        <v/>
      </c>
      <c r="F460" t="str">
        <f t="shared" si="22"/>
        <v/>
      </c>
      <c r="G460" t="str">
        <f t="shared" si="23"/>
        <v/>
      </c>
    </row>
    <row r="461" spans="1:7" x14ac:dyDescent="0.3">
      <c r="A461">
        <f>IF('Output Report'!$H$71+2&gt;ROW(A460),ROW(A460),0)</f>
        <v>0</v>
      </c>
      <c r="B461" t="str">
        <f>IF(AND(A461&gt;0,A461&lt;='Output Report'!$H$71+1),B460+MC_hist!$M$11/'Output Report'!$H$71,"")</f>
        <v/>
      </c>
      <c r="C461" t="str">
        <f t="shared" si="21"/>
        <v/>
      </c>
      <c r="D461" s="45" t="str">
        <f>IF(A462&gt;0,C461/'Output Report'!$H$70,"")</f>
        <v/>
      </c>
      <c r="E461" s="46" t="str">
        <f>IF(A462&gt;0,SUM($D$2:D461),"")</f>
        <v/>
      </c>
      <c r="F461" t="str">
        <f t="shared" si="22"/>
        <v/>
      </c>
      <c r="G461" t="str">
        <f t="shared" si="23"/>
        <v/>
      </c>
    </row>
    <row r="462" spans="1:7" x14ac:dyDescent="0.3">
      <c r="A462">
        <f>IF('Output Report'!$H$71+2&gt;ROW(A461),ROW(A461),0)</f>
        <v>0</v>
      </c>
      <c r="B462" t="str">
        <f>IF(AND(A462&gt;0,A462&lt;='Output Report'!$H$71+1),B461+MC_hist!$M$11/'Output Report'!$H$71,"")</f>
        <v/>
      </c>
      <c r="C462" t="str">
        <f t="shared" si="21"/>
        <v/>
      </c>
      <c r="D462" s="45" t="str">
        <f>IF(A463&gt;0,C462/'Output Report'!$H$70,"")</f>
        <v/>
      </c>
      <c r="E462" s="46" t="str">
        <f>IF(A463&gt;0,SUM($D$2:D462),"")</f>
        <v/>
      </c>
      <c r="F462" t="str">
        <f t="shared" si="22"/>
        <v/>
      </c>
      <c r="G462" t="str">
        <f t="shared" si="23"/>
        <v/>
      </c>
    </row>
    <row r="463" spans="1:7" x14ac:dyDescent="0.3">
      <c r="A463">
        <f>IF('Output Report'!$H$71+2&gt;ROW(A462),ROW(A462),0)</f>
        <v>0</v>
      </c>
      <c r="B463" t="str">
        <f>IF(AND(A463&gt;0,A463&lt;='Output Report'!$H$71+1),B462+MC_hist!$M$11/'Output Report'!$H$71,"")</f>
        <v/>
      </c>
      <c r="C463" t="str">
        <f t="shared" si="21"/>
        <v/>
      </c>
      <c r="D463" s="45" t="str">
        <f>IF(A464&gt;0,C463/'Output Report'!$H$70,"")</f>
        <v/>
      </c>
      <c r="E463" s="46" t="str">
        <f>IF(A464&gt;0,SUM($D$2:D463),"")</f>
        <v/>
      </c>
      <c r="F463" t="str">
        <f t="shared" si="22"/>
        <v/>
      </c>
      <c r="G463" t="str">
        <f t="shared" si="23"/>
        <v/>
      </c>
    </row>
    <row r="464" spans="1:7" x14ac:dyDescent="0.3">
      <c r="A464">
        <f>IF('Output Report'!$H$71+2&gt;ROW(A463),ROW(A463),0)</f>
        <v>0</v>
      </c>
      <c r="B464" t="str">
        <f>IF(AND(A464&gt;0,A464&lt;='Output Report'!$H$71+1),B463+MC_hist!$M$11/'Output Report'!$H$71,"")</f>
        <v/>
      </c>
      <c r="C464" t="str">
        <f t="shared" si="21"/>
        <v/>
      </c>
      <c r="D464" s="45" t="str">
        <f>IF(A465&gt;0,C464/'Output Report'!$H$70,"")</f>
        <v/>
      </c>
      <c r="E464" s="46" t="str">
        <f>IF(A465&gt;0,SUM($D$2:D464),"")</f>
        <v/>
      </c>
      <c r="F464" t="str">
        <f t="shared" si="22"/>
        <v/>
      </c>
      <c r="G464" t="str">
        <f t="shared" si="23"/>
        <v/>
      </c>
    </row>
    <row r="465" spans="1:7" x14ac:dyDescent="0.3">
      <c r="A465">
        <f>IF('Output Report'!$H$71+2&gt;ROW(A464),ROW(A464),0)</f>
        <v>0</v>
      </c>
      <c r="B465" t="str">
        <f>IF(AND(A465&gt;0,A465&lt;='Output Report'!$H$71+1),B464+MC_hist!$M$11/'Output Report'!$H$71,"")</f>
        <v/>
      </c>
      <c r="C465" t="str">
        <f t="shared" si="21"/>
        <v/>
      </c>
      <c r="D465" s="45" t="str">
        <f>IF(A466&gt;0,C465/'Output Report'!$H$70,"")</f>
        <v/>
      </c>
      <c r="E465" s="46" t="str">
        <f>IF(A466&gt;0,SUM($D$2:D465),"")</f>
        <v/>
      </c>
      <c r="F465" t="str">
        <f t="shared" si="22"/>
        <v/>
      </c>
      <c r="G465" t="str">
        <f t="shared" si="23"/>
        <v/>
      </c>
    </row>
    <row r="466" spans="1:7" x14ac:dyDescent="0.3">
      <c r="A466">
        <f>IF('Output Report'!$H$71+2&gt;ROW(A465),ROW(A465),0)</f>
        <v>0</v>
      </c>
      <c r="B466" t="str">
        <f>IF(AND(A466&gt;0,A466&lt;='Output Report'!$H$71+1),B465+MC_hist!$M$11/'Output Report'!$H$71,"")</f>
        <v/>
      </c>
      <c r="C466" t="str">
        <f t="shared" si="21"/>
        <v/>
      </c>
      <c r="D466" s="45" t="str">
        <f>IF(A467&gt;0,C466/'Output Report'!$H$70,"")</f>
        <v/>
      </c>
      <c r="E466" s="46" t="str">
        <f>IF(A467&gt;0,SUM($D$2:D466),"")</f>
        <v/>
      </c>
      <c r="F466" t="str">
        <f t="shared" si="22"/>
        <v/>
      </c>
      <c r="G466" t="str">
        <f t="shared" si="23"/>
        <v/>
      </c>
    </row>
    <row r="467" spans="1:7" x14ac:dyDescent="0.3">
      <c r="A467">
        <f>IF('Output Report'!$H$71+2&gt;ROW(A466),ROW(A466),0)</f>
        <v>0</v>
      </c>
      <c r="B467" t="str">
        <f>IF(AND(A467&gt;0,A467&lt;='Output Report'!$H$71+1),B466+MC_hist!$M$11/'Output Report'!$H$71,"")</f>
        <v/>
      </c>
      <c r="C467" t="str">
        <f t="shared" si="21"/>
        <v/>
      </c>
      <c r="D467" s="45" t="str">
        <f>IF(A468&gt;0,C467/'Output Report'!$H$70,"")</f>
        <v/>
      </c>
      <c r="E467" s="46" t="str">
        <f>IF(A468&gt;0,SUM($D$2:D467),"")</f>
        <v/>
      </c>
      <c r="F467" t="str">
        <f t="shared" si="22"/>
        <v/>
      </c>
      <c r="G467" t="str">
        <f t="shared" si="23"/>
        <v/>
      </c>
    </row>
    <row r="468" spans="1:7" x14ac:dyDescent="0.3">
      <c r="A468">
        <f>IF('Output Report'!$H$71+2&gt;ROW(A467),ROW(A467),0)</f>
        <v>0</v>
      </c>
      <c r="B468" t="str">
        <f>IF(AND(A468&gt;0,A468&lt;='Output Report'!$H$71+1),B467+MC_hist!$M$11/'Output Report'!$H$71,"")</f>
        <v/>
      </c>
      <c r="C468" t="str">
        <f t="shared" si="21"/>
        <v/>
      </c>
      <c r="D468" s="45" t="str">
        <f>IF(A469&gt;0,C468/'Output Report'!$H$70,"")</f>
        <v/>
      </c>
      <c r="E468" s="46" t="str">
        <f>IF(A469&gt;0,SUM($D$2:D468),"")</f>
        <v/>
      </c>
      <c r="F468" t="str">
        <f t="shared" si="22"/>
        <v/>
      </c>
      <c r="G468" t="str">
        <f t="shared" si="23"/>
        <v/>
      </c>
    </row>
    <row r="469" spans="1:7" x14ac:dyDescent="0.3">
      <c r="A469">
        <f>IF('Output Report'!$H$71+2&gt;ROW(A468),ROW(A468),0)</f>
        <v>0</v>
      </c>
      <c r="B469" t="str">
        <f>IF(AND(A469&gt;0,A469&lt;='Output Report'!$H$71+1),B468+MC_hist!$M$11/'Output Report'!$H$71,"")</f>
        <v/>
      </c>
      <c r="C469" t="str">
        <f t="shared" si="21"/>
        <v/>
      </c>
      <c r="D469" s="45" t="str">
        <f>IF(A470&gt;0,C469/'Output Report'!$H$70,"")</f>
        <v/>
      </c>
      <c r="E469" s="46" t="str">
        <f>IF(A470&gt;0,SUM($D$2:D469),"")</f>
        <v/>
      </c>
      <c r="F469" t="str">
        <f t="shared" si="22"/>
        <v/>
      </c>
      <c r="G469" t="str">
        <f t="shared" si="23"/>
        <v/>
      </c>
    </row>
    <row r="470" spans="1:7" x14ac:dyDescent="0.3">
      <c r="A470">
        <f>IF('Output Report'!$H$71+2&gt;ROW(A469),ROW(A469),0)</f>
        <v>0</v>
      </c>
      <c r="B470" t="str">
        <f>IF(AND(A470&gt;0,A470&lt;='Output Report'!$H$71+1),B469+MC_hist!$M$11/'Output Report'!$H$71,"")</f>
        <v/>
      </c>
      <c r="C470" t="str">
        <f t="shared" si="21"/>
        <v/>
      </c>
      <c r="D470" s="45" t="str">
        <f>IF(A471&gt;0,C470/'Output Report'!$H$70,"")</f>
        <v/>
      </c>
      <c r="E470" s="46" t="str">
        <f>IF(A471&gt;0,SUM($D$2:D470),"")</f>
        <v/>
      </c>
      <c r="F470" t="str">
        <f t="shared" si="22"/>
        <v/>
      </c>
      <c r="G470" t="str">
        <f t="shared" si="23"/>
        <v/>
      </c>
    </row>
    <row r="471" spans="1:7" x14ac:dyDescent="0.3">
      <c r="A471">
        <f>IF('Output Report'!$H$71+2&gt;ROW(A470),ROW(A470),0)</f>
        <v>0</v>
      </c>
      <c r="B471" t="str">
        <f>IF(AND(A471&gt;0,A471&lt;='Output Report'!$H$71+1),B470+MC_hist!$M$11/'Output Report'!$H$71,"")</f>
        <v/>
      </c>
      <c r="C471" t="str">
        <f t="shared" si="21"/>
        <v/>
      </c>
      <c r="D471" s="45" t="str">
        <f>IF(A472&gt;0,C471/'Output Report'!$H$70,"")</f>
        <v/>
      </c>
      <c r="E471" s="46" t="str">
        <f>IF(A472&gt;0,SUM($D$2:D471),"")</f>
        <v/>
      </c>
      <c r="F471" t="str">
        <f t="shared" si="22"/>
        <v/>
      </c>
      <c r="G471" t="str">
        <f t="shared" si="23"/>
        <v/>
      </c>
    </row>
    <row r="472" spans="1:7" x14ac:dyDescent="0.3">
      <c r="A472">
        <f>IF('Output Report'!$H$71+2&gt;ROW(A471),ROW(A471),0)</f>
        <v>0</v>
      </c>
      <c r="B472" t="str">
        <f>IF(AND(A472&gt;0,A472&lt;='Output Report'!$H$71+1),B471+MC_hist!$M$11/'Output Report'!$H$71,"")</f>
        <v/>
      </c>
      <c r="C472" t="str">
        <f t="shared" si="21"/>
        <v/>
      </c>
      <c r="D472" s="45" t="str">
        <f>IF(A473&gt;0,C472/'Output Report'!$H$70,"")</f>
        <v/>
      </c>
      <c r="E472" s="46" t="str">
        <f>IF(A473&gt;0,SUM($D$2:D472),"")</f>
        <v/>
      </c>
      <c r="F472" t="str">
        <f t="shared" si="22"/>
        <v/>
      </c>
      <c r="G472" t="str">
        <f t="shared" si="23"/>
        <v/>
      </c>
    </row>
    <row r="473" spans="1:7" x14ac:dyDescent="0.3">
      <c r="A473">
        <f>IF('Output Report'!$H$71+2&gt;ROW(A472),ROW(A472),0)</f>
        <v>0</v>
      </c>
      <c r="B473" t="str">
        <f>IF(AND(A473&gt;0,A473&lt;='Output Report'!$H$71+1),B472+MC_hist!$M$11/'Output Report'!$H$71,"")</f>
        <v/>
      </c>
      <c r="C473" t="str">
        <f t="shared" si="21"/>
        <v/>
      </c>
      <c r="D473" s="45" t="str">
        <f>IF(A474&gt;0,C473/'Output Report'!$H$70,"")</f>
        <v/>
      </c>
      <c r="E473" s="46" t="str">
        <f>IF(A474&gt;0,SUM($D$2:D473),"")</f>
        <v/>
      </c>
      <c r="F473" t="str">
        <f t="shared" si="22"/>
        <v/>
      </c>
      <c r="G473" t="str">
        <f t="shared" si="23"/>
        <v/>
      </c>
    </row>
    <row r="474" spans="1:7" x14ac:dyDescent="0.3">
      <c r="A474">
        <f>IF('Output Report'!$H$71+2&gt;ROW(A473),ROW(A473),0)</f>
        <v>0</v>
      </c>
      <c r="B474" t="str">
        <f>IF(AND(A474&gt;0,A474&lt;='Output Report'!$H$71+1),B473+MC_hist!$M$11/'Output Report'!$H$71,"")</f>
        <v/>
      </c>
      <c r="C474" t="str">
        <f t="shared" si="21"/>
        <v/>
      </c>
      <c r="D474" s="45" t="str">
        <f>IF(A475&gt;0,C474/'Output Report'!$H$70,"")</f>
        <v/>
      </c>
      <c r="E474" s="46" t="str">
        <f>IF(A475&gt;0,SUM($D$2:D474),"")</f>
        <v/>
      </c>
      <c r="F474" t="str">
        <f t="shared" si="22"/>
        <v/>
      </c>
      <c r="G474" t="str">
        <f t="shared" si="23"/>
        <v/>
      </c>
    </row>
    <row r="475" spans="1:7" x14ac:dyDescent="0.3">
      <c r="A475">
        <f>IF('Output Report'!$H$71+2&gt;ROW(A474),ROW(A474),0)</f>
        <v>0</v>
      </c>
      <c r="B475" t="str">
        <f>IF(AND(A475&gt;0,A475&lt;='Output Report'!$H$71+1),B474+MC_hist!$M$11/'Output Report'!$H$71,"")</f>
        <v/>
      </c>
      <c r="C475" t="str">
        <f t="shared" si="21"/>
        <v/>
      </c>
      <c r="D475" s="45" t="str">
        <f>IF(A476&gt;0,C475/'Output Report'!$H$70,"")</f>
        <v/>
      </c>
      <c r="E475" s="46" t="str">
        <f>IF(A476&gt;0,SUM($D$2:D475),"")</f>
        <v/>
      </c>
      <c r="F475" t="str">
        <f t="shared" si="22"/>
        <v/>
      </c>
      <c r="G475" t="str">
        <f t="shared" si="23"/>
        <v/>
      </c>
    </row>
    <row r="476" spans="1:7" x14ac:dyDescent="0.3">
      <c r="A476">
        <f>IF('Output Report'!$H$71+2&gt;ROW(A475),ROW(A475),0)</f>
        <v>0</v>
      </c>
      <c r="B476" t="str">
        <f>IF(AND(A476&gt;0,A476&lt;='Output Report'!$H$71+1),B475+MC_hist!$M$11/'Output Report'!$H$71,"")</f>
        <v/>
      </c>
      <c r="C476" t="str">
        <f t="shared" si="21"/>
        <v/>
      </c>
      <c r="D476" s="45" t="str">
        <f>IF(A477&gt;0,C476/'Output Report'!$H$70,"")</f>
        <v/>
      </c>
      <c r="E476" s="46" t="str">
        <f>IF(A477&gt;0,SUM($D$2:D476),"")</f>
        <v/>
      </c>
      <c r="F476" t="str">
        <f t="shared" si="22"/>
        <v/>
      </c>
      <c r="G476" t="str">
        <f t="shared" si="23"/>
        <v/>
      </c>
    </row>
    <row r="477" spans="1:7" x14ac:dyDescent="0.3">
      <c r="A477">
        <f>IF('Output Report'!$H$71+2&gt;ROW(A476),ROW(A476),0)</f>
        <v>0</v>
      </c>
      <c r="B477" t="str">
        <f>IF(AND(A477&gt;0,A477&lt;='Output Report'!$H$71+1),B476+MC_hist!$M$11/'Output Report'!$H$71,"")</f>
        <v/>
      </c>
      <c r="C477" t="str">
        <f t="shared" si="21"/>
        <v/>
      </c>
      <c r="D477" s="45" t="str">
        <f>IF(A478&gt;0,C477/'Output Report'!$H$70,"")</f>
        <v/>
      </c>
      <c r="E477" s="46" t="str">
        <f>IF(A478&gt;0,SUM($D$2:D477),"")</f>
        <v/>
      </c>
      <c r="F477" t="str">
        <f t="shared" si="22"/>
        <v/>
      </c>
      <c r="G477" t="str">
        <f t="shared" si="23"/>
        <v/>
      </c>
    </row>
    <row r="478" spans="1:7" x14ac:dyDescent="0.3">
      <c r="A478">
        <f>IF('Output Report'!$H$71+2&gt;ROW(A477),ROW(A477),0)</f>
        <v>0</v>
      </c>
      <c r="B478" t="str">
        <f>IF(AND(A478&gt;0,A478&lt;='Output Report'!$H$71+1),B477+MC_hist!$M$11/'Output Report'!$H$71,"")</f>
        <v/>
      </c>
      <c r="C478" t="str">
        <f t="shared" si="21"/>
        <v/>
      </c>
      <c r="D478" s="45" t="str">
        <f>IF(A479&gt;0,C478/'Output Report'!$H$70,"")</f>
        <v/>
      </c>
      <c r="E478" s="46" t="str">
        <f>IF(A479&gt;0,SUM($D$2:D478),"")</f>
        <v/>
      </c>
      <c r="F478" t="str">
        <f t="shared" si="22"/>
        <v/>
      </c>
      <c r="G478" t="str">
        <f t="shared" si="23"/>
        <v/>
      </c>
    </row>
    <row r="479" spans="1:7" x14ac:dyDescent="0.3">
      <c r="A479">
        <f>IF('Output Report'!$H$71+2&gt;ROW(A478),ROW(A478),0)</f>
        <v>0</v>
      </c>
      <c r="B479" t="str">
        <f>IF(AND(A479&gt;0,A479&lt;='Output Report'!$H$71+1),B478+MC_hist!$M$11/'Output Report'!$H$71,"")</f>
        <v/>
      </c>
      <c r="C479" t="str">
        <f t="shared" si="21"/>
        <v/>
      </c>
      <c r="D479" s="45" t="str">
        <f>IF(A480&gt;0,C479/'Output Report'!$H$70,"")</f>
        <v/>
      </c>
      <c r="E479" s="46" t="str">
        <f>IF(A480&gt;0,SUM($D$2:D479),"")</f>
        <v/>
      </c>
      <c r="F479" t="str">
        <f t="shared" si="22"/>
        <v/>
      </c>
      <c r="G479" t="str">
        <f t="shared" si="23"/>
        <v/>
      </c>
    </row>
    <row r="480" spans="1:7" x14ac:dyDescent="0.3">
      <c r="A480">
        <f>IF('Output Report'!$H$71+2&gt;ROW(A479),ROW(A479),0)</f>
        <v>0</v>
      </c>
      <c r="B480" t="str">
        <f>IF(AND(A480&gt;0,A480&lt;='Output Report'!$H$71+1),B479+MC_hist!$M$11/'Output Report'!$H$71,"")</f>
        <v/>
      </c>
      <c r="C480" t="str">
        <f t="shared" si="21"/>
        <v/>
      </c>
      <c r="D480" s="45" t="str">
        <f>IF(A481&gt;0,C480/'Output Report'!$H$70,"")</f>
        <v/>
      </c>
      <c r="E480" s="46" t="str">
        <f>IF(A481&gt;0,SUM($D$2:D480),"")</f>
        <v/>
      </c>
      <c r="F480" t="str">
        <f t="shared" si="22"/>
        <v/>
      </c>
      <c r="G480" t="str">
        <f t="shared" si="23"/>
        <v/>
      </c>
    </row>
    <row r="481" spans="1:7" x14ac:dyDescent="0.3">
      <c r="A481">
        <f>IF('Output Report'!$H$71+2&gt;ROW(A480),ROW(A480),0)</f>
        <v>0</v>
      </c>
      <c r="B481" t="str">
        <f>IF(AND(A481&gt;0,A481&lt;='Output Report'!$H$71+1),B480+MC_hist!$M$11/'Output Report'!$H$71,"")</f>
        <v/>
      </c>
      <c r="C481" t="str">
        <f t="shared" si="21"/>
        <v/>
      </c>
      <c r="D481" s="45" t="str">
        <f>IF(A482&gt;0,C481/'Output Report'!$H$70,"")</f>
        <v/>
      </c>
      <c r="E481" s="46" t="str">
        <f>IF(A482&gt;0,SUM($D$2:D481),"")</f>
        <v/>
      </c>
      <c r="F481" t="str">
        <f t="shared" si="22"/>
        <v/>
      </c>
      <c r="G481" t="str">
        <f t="shared" si="23"/>
        <v/>
      </c>
    </row>
    <row r="482" spans="1:7" x14ac:dyDescent="0.3">
      <c r="A482">
        <f>IF('Output Report'!$H$71+2&gt;ROW(A481),ROW(A481),0)</f>
        <v>0</v>
      </c>
      <c r="B482" t="str">
        <f>IF(AND(A482&gt;0,A482&lt;='Output Report'!$H$71+1),B481+MC_hist!$M$11/'Output Report'!$H$71,"")</f>
        <v/>
      </c>
      <c r="C482" t="str">
        <f t="shared" si="21"/>
        <v/>
      </c>
      <c r="D482" s="45" t="str">
        <f>IF(A483&gt;0,C482/'Output Report'!$H$70,"")</f>
        <v/>
      </c>
      <c r="E482" s="46" t="str">
        <f>IF(A483&gt;0,SUM($D$2:D482),"")</f>
        <v/>
      </c>
      <c r="F482" t="str">
        <f t="shared" si="22"/>
        <v/>
      </c>
      <c r="G482" t="str">
        <f t="shared" si="23"/>
        <v/>
      </c>
    </row>
    <row r="483" spans="1:7" x14ac:dyDescent="0.3">
      <c r="A483">
        <f>IF('Output Report'!$H$71+2&gt;ROW(A482),ROW(A482),0)</f>
        <v>0</v>
      </c>
      <c r="B483" t="str">
        <f>IF(AND(A483&gt;0,A483&lt;='Output Report'!$H$71+1),B482+MC_hist!$M$11/'Output Report'!$H$71,"")</f>
        <v/>
      </c>
      <c r="C483" t="str">
        <f t="shared" si="21"/>
        <v/>
      </c>
      <c r="D483" s="45" t="str">
        <f>IF(A484&gt;0,C483/'Output Report'!$H$70,"")</f>
        <v/>
      </c>
      <c r="E483" s="46" t="str">
        <f>IF(A484&gt;0,SUM($D$2:D483),"")</f>
        <v/>
      </c>
      <c r="F483" t="str">
        <f t="shared" si="22"/>
        <v/>
      </c>
      <c r="G483" t="str">
        <f t="shared" si="23"/>
        <v/>
      </c>
    </row>
    <row r="484" spans="1:7" x14ac:dyDescent="0.3">
      <c r="A484">
        <f>IF('Output Report'!$H$71+2&gt;ROW(A483),ROW(A483),0)</f>
        <v>0</v>
      </c>
      <c r="B484" t="str">
        <f>IF(AND(A484&gt;0,A484&lt;='Output Report'!$H$71+1),B483+MC_hist!$M$11/'Output Report'!$H$71,"")</f>
        <v/>
      </c>
      <c r="C484" t="str">
        <f t="shared" si="21"/>
        <v/>
      </c>
      <c r="D484" s="45" t="str">
        <f>IF(A485&gt;0,C484/'Output Report'!$H$70,"")</f>
        <v/>
      </c>
      <c r="E484" s="46" t="str">
        <f>IF(A485&gt;0,SUM($D$2:D484),"")</f>
        <v/>
      </c>
      <c r="F484" t="str">
        <f t="shared" si="22"/>
        <v/>
      </c>
      <c r="G484" t="str">
        <f t="shared" si="23"/>
        <v/>
      </c>
    </row>
    <row r="485" spans="1:7" x14ac:dyDescent="0.3">
      <c r="A485">
        <f>IF('Output Report'!$H$71+2&gt;ROW(A484),ROW(A484),0)</f>
        <v>0</v>
      </c>
      <c r="B485" t="str">
        <f>IF(AND(A485&gt;0,A485&lt;='Output Report'!$H$71+1),B484+MC_hist!$M$11/'Output Report'!$H$71,"")</f>
        <v/>
      </c>
      <c r="C485" t="str">
        <f t="shared" si="21"/>
        <v/>
      </c>
      <c r="D485" s="45" t="str">
        <f>IF(A486&gt;0,C485/'Output Report'!$H$70,"")</f>
        <v/>
      </c>
      <c r="E485" s="46" t="str">
        <f>IF(A486&gt;0,SUM($D$2:D485),"")</f>
        <v/>
      </c>
      <c r="F485" t="str">
        <f t="shared" si="22"/>
        <v/>
      </c>
      <c r="G485" t="str">
        <f t="shared" si="23"/>
        <v/>
      </c>
    </row>
    <row r="486" spans="1:7" x14ac:dyDescent="0.3">
      <c r="A486">
        <f>IF('Output Report'!$H$71+2&gt;ROW(A485),ROW(A485),0)</f>
        <v>0</v>
      </c>
      <c r="B486" t="str">
        <f>IF(AND(A486&gt;0,A486&lt;='Output Report'!$H$71+1),B485+MC_hist!$M$11/'Output Report'!$H$71,"")</f>
        <v/>
      </c>
      <c r="C486" t="str">
        <f t="shared" si="21"/>
        <v/>
      </c>
      <c r="D486" s="45" t="str">
        <f>IF(A487&gt;0,C486/'Output Report'!$H$70,"")</f>
        <v/>
      </c>
      <c r="E486" s="46" t="str">
        <f>IF(A487&gt;0,SUM($D$2:D486),"")</f>
        <v/>
      </c>
      <c r="F486" t="str">
        <f t="shared" si="22"/>
        <v/>
      </c>
      <c r="G486" t="str">
        <f t="shared" si="23"/>
        <v/>
      </c>
    </row>
    <row r="487" spans="1:7" x14ac:dyDescent="0.3">
      <c r="A487">
        <f>IF('Output Report'!$H$71+2&gt;ROW(A486),ROW(A486),0)</f>
        <v>0</v>
      </c>
      <c r="B487" t="str">
        <f>IF(AND(A487&gt;0,A487&lt;='Output Report'!$H$71+1),B486+MC_hist!$M$11/'Output Report'!$H$71,"")</f>
        <v/>
      </c>
      <c r="C487" t="str">
        <f t="shared" si="21"/>
        <v/>
      </c>
      <c r="D487" s="45" t="str">
        <f>IF(A488&gt;0,C487/'Output Report'!$H$70,"")</f>
        <v/>
      </c>
      <c r="E487" s="46" t="str">
        <f>IF(A488&gt;0,SUM($D$2:D487),"")</f>
        <v/>
      </c>
      <c r="F487" t="str">
        <f t="shared" si="22"/>
        <v/>
      </c>
      <c r="G487" t="str">
        <f t="shared" si="23"/>
        <v/>
      </c>
    </row>
    <row r="488" spans="1:7" x14ac:dyDescent="0.3">
      <c r="A488">
        <f>IF('Output Report'!$H$71+2&gt;ROW(A487),ROW(A487),0)</f>
        <v>0</v>
      </c>
      <c r="B488" t="str">
        <f>IF(AND(A488&gt;0,A488&lt;='Output Report'!$H$71+1),B487+MC_hist!$M$11/'Output Report'!$H$71,"")</f>
        <v/>
      </c>
      <c r="C488" t="str">
        <f t="shared" si="21"/>
        <v/>
      </c>
      <c r="D488" s="45" t="str">
        <f>IF(A489&gt;0,C488/'Output Report'!$H$70,"")</f>
        <v/>
      </c>
      <c r="E488" s="46" t="str">
        <f>IF(A489&gt;0,SUM($D$2:D488),"")</f>
        <v/>
      </c>
      <c r="F488" t="str">
        <f t="shared" si="22"/>
        <v/>
      </c>
      <c r="G488" t="str">
        <f t="shared" si="23"/>
        <v/>
      </c>
    </row>
    <row r="489" spans="1:7" x14ac:dyDescent="0.3">
      <c r="A489">
        <f>IF('Output Report'!$H$71+2&gt;ROW(A488),ROW(A488),0)</f>
        <v>0</v>
      </c>
      <c r="B489" t="str">
        <f>IF(AND(A489&gt;0,A489&lt;='Output Report'!$H$71+1),B488+MC_hist!$M$11/'Output Report'!$H$71,"")</f>
        <v/>
      </c>
      <c r="C489" t="str">
        <f t="shared" si="21"/>
        <v/>
      </c>
      <c r="D489" s="45" t="str">
        <f>IF(A490&gt;0,C489/'Output Report'!$H$70,"")</f>
        <v/>
      </c>
      <c r="E489" s="46" t="str">
        <f>IF(A490&gt;0,SUM($D$2:D489),"")</f>
        <v/>
      </c>
      <c r="F489" t="str">
        <f t="shared" si="22"/>
        <v/>
      </c>
      <c r="G489" t="str">
        <f t="shared" si="23"/>
        <v/>
      </c>
    </row>
    <row r="490" spans="1:7" x14ac:dyDescent="0.3">
      <c r="A490">
        <f>IF('Output Report'!$H$71+2&gt;ROW(A489),ROW(A489),0)</f>
        <v>0</v>
      </c>
      <c r="B490" t="str">
        <f>IF(AND(A490&gt;0,A490&lt;='Output Report'!$H$71+1),B489+MC_hist!$M$11/'Output Report'!$H$71,"")</f>
        <v/>
      </c>
      <c r="C490" t="str">
        <f t="shared" si="21"/>
        <v/>
      </c>
      <c r="D490" s="45" t="str">
        <f>IF(A491&gt;0,C490/'Output Report'!$H$70,"")</f>
        <v/>
      </c>
      <c r="E490" s="46" t="str">
        <f>IF(A491&gt;0,SUM($D$2:D490),"")</f>
        <v/>
      </c>
      <c r="F490" t="str">
        <f t="shared" si="22"/>
        <v/>
      </c>
      <c r="G490" t="str">
        <f t="shared" si="23"/>
        <v/>
      </c>
    </row>
    <row r="491" spans="1:7" x14ac:dyDescent="0.3">
      <c r="A491">
        <f>IF('Output Report'!$H$71+2&gt;ROW(A490),ROW(A490),0)</f>
        <v>0</v>
      </c>
      <c r="B491" t="str">
        <f>IF(AND(A491&gt;0,A491&lt;='Output Report'!$H$71+1),B490+MC_hist!$M$11/'Output Report'!$H$71,"")</f>
        <v/>
      </c>
      <c r="C491" t="str">
        <f t="shared" si="21"/>
        <v/>
      </c>
      <c r="D491" s="45" t="str">
        <f>IF(A492&gt;0,C491/'Output Report'!$H$70,"")</f>
        <v/>
      </c>
      <c r="E491" s="46" t="str">
        <f>IF(A492&gt;0,SUM($D$2:D491),"")</f>
        <v/>
      </c>
      <c r="F491" t="str">
        <f t="shared" si="22"/>
        <v/>
      </c>
      <c r="G491" t="str">
        <f t="shared" si="23"/>
        <v/>
      </c>
    </row>
    <row r="492" spans="1:7" x14ac:dyDescent="0.3">
      <c r="A492">
        <f>IF('Output Report'!$H$71+2&gt;ROW(A491),ROW(A491),0)</f>
        <v>0</v>
      </c>
      <c r="B492" t="str">
        <f>IF(AND(A492&gt;0,A492&lt;='Output Report'!$H$71+1),B491+MC_hist!$M$11/'Output Report'!$H$71,"")</f>
        <v/>
      </c>
      <c r="C492" t="str">
        <f t="shared" si="21"/>
        <v/>
      </c>
      <c r="D492" s="45" t="str">
        <f>IF(A493&gt;0,C492/'Output Report'!$H$70,"")</f>
        <v/>
      </c>
      <c r="E492" s="46" t="str">
        <f>IF(A493&gt;0,SUM($D$2:D492),"")</f>
        <v/>
      </c>
      <c r="F492" t="str">
        <f t="shared" si="22"/>
        <v/>
      </c>
      <c r="G492" t="str">
        <f t="shared" si="23"/>
        <v/>
      </c>
    </row>
    <row r="493" spans="1:7" x14ac:dyDescent="0.3">
      <c r="A493">
        <f>IF('Output Report'!$H$71+2&gt;ROW(A492),ROW(A492),0)</f>
        <v>0</v>
      </c>
      <c r="B493" t="str">
        <f>IF(AND(A493&gt;0,A493&lt;='Output Report'!$H$71+1),B492+MC_hist!$M$11/'Output Report'!$H$71,"")</f>
        <v/>
      </c>
      <c r="C493" t="str">
        <f t="shared" si="21"/>
        <v/>
      </c>
      <c r="D493" s="45" t="str">
        <f>IF(A494&gt;0,C493/'Output Report'!$H$70,"")</f>
        <v/>
      </c>
      <c r="E493" s="46" t="str">
        <f>IF(A494&gt;0,SUM($D$2:D493),"")</f>
        <v/>
      </c>
      <c r="F493" t="str">
        <f t="shared" si="22"/>
        <v/>
      </c>
      <c r="G493" t="str">
        <f t="shared" si="23"/>
        <v/>
      </c>
    </row>
    <row r="494" spans="1:7" x14ac:dyDescent="0.3">
      <c r="A494">
        <f>IF('Output Report'!$H$71+2&gt;ROW(A493),ROW(A493),0)</f>
        <v>0</v>
      </c>
      <c r="B494" t="str">
        <f>IF(AND(A494&gt;0,A494&lt;='Output Report'!$H$71+1),B493+MC_hist!$M$11/'Output Report'!$H$71,"")</f>
        <v/>
      </c>
      <c r="C494" t="str">
        <f t="shared" ref="C494:C557" si="24">IF(A495&gt;0,COUNTIFS(data_sim,"&gt;"&amp;B494,data_sim,"&lt;="&amp;B495),"")</f>
        <v/>
      </c>
      <c r="D494" s="45" t="str">
        <f>IF(A495&gt;0,C494/'Output Report'!$H$70,"")</f>
        <v/>
      </c>
      <c r="E494" s="46" t="str">
        <f>IF(A495&gt;0,SUM($D$2:D494),"")</f>
        <v/>
      </c>
      <c r="F494" t="str">
        <f t="shared" ref="F494:F557" si="25">IF(B494&lt;=0,D494,"")</f>
        <v/>
      </c>
      <c r="G494" t="str">
        <f t="shared" si="23"/>
        <v/>
      </c>
    </row>
    <row r="495" spans="1:7" x14ac:dyDescent="0.3">
      <c r="A495">
        <f>IF('Output Report'!$H$71+2&gt;ROW(A494),ROW(A494),0)</f>
        <v>0</v>
      </c>
      <c r="B495" t="str">
        <f>IF(AND(A495&gt;0,A495&lt;='Output Report'!$H$71+1),B494+MC_hist!$M$11/'Output Report'!$H$71,"")</f>
        <v/>
      </c>
      <c r="C495" t="str">
        <f t="shared" si="24"/>
        <v/>
      </c>
      <c r="D495" s="45" t="str">
        <f>IF(A496&gt;0,C495/'Output Report'!$H$70,"")</f>
        <v/>
      </c>
      <c r="E495" s="46" t="str">
        <f>IF(A496&gt;0,SUM($D$2:D495),"")</f>
        <v/>
      </c>
      <c r="F495" t="str">
        <f t="shared" si="25"/>
        <v/>
      </c>
      <c r="G495" t="str">
        <f t="shared" si="23"/>
        <v/>
      </c>
    </row>
    <row r="496" spans="1:7" x14ac:dyDescent="0.3">
      <c r="A496">
        <f>IF('Output Report'!$H$71+2&gt;ROW(A495),ROW(A495),0)</f>
        <v>0</v>
      </c>
      <c r="B496" t="str">
        <f>IF(AND(A496&gt;0,A496&lt;='Output Report'!$H$71+1),B495+MC_hist!$M$11/'Output Report'!$H$71,"")</f>
        <v/>
      </c>
      <c r="C496" t="str">
        <f t="shared" si="24"/>
        <v/>
      </c>
      <c r="D496" s="45" t="str">
        <f>IF(A497&gt;0,C496/'Output Report'!$H$70,"")</f>
        <v/>
      </c>
      <c r="E496" s="46" t="str">
        <f>IF(A497&gt;0,SUM($D$2:D496),"")</f>
        <v/>
      </c>
      <c r="F496" t="str">
        <f t="shared" si="25"/>
        <v/>
      </c>
      <c r="G496" t="str">
        <f t="shared" si="23"/>
        <v/>
      </c>
    </row>
    <row r="497" spans="1:7" x14ac:dyDescent="0.3">
      <c r="A497">
        <f>IF('Output Report'!$H$71+2&gt;ROW(A496),ROW(A496),0)</f>
        <v>0</v>
      </c>
      <c r="B497" t="str">
        <f>IF(AND(A497&gt;0,A497&lt;='Output Report'!$H$71+1),B496+MC_hist!$M$11/'Output Report'!$H$71,"")</f>
        <v/>
      </c>
      <c r="C497" t="str">
        <f t="shared" si="24"/>
        <v/>
      </c>
      <c r="D497" s="45" t="str">
        <f>IF(A498&gt;0,C497/'Output Report'!$H$70,"")</f>
        <v/>
      </c>
      <c r="E497" s="46" t="str">
        <f>IF(A498&gt;0,SUM($D$2:D497),"")</f>
        <v/>
      </c>
      <c r="F497" t="str">
        <f t="shared" si="25"/>
        <v/>
      </c>
      <c r="G497" t="str">
        <f t="shared" si="23"/>
        <v/>
      </c>
    </row>
    <row r="498" spans="1:7" x14ac:dyDescent="0.3">
      <c r="A498">
        <f>IF('Output Report'!$H$71+2&gt;ROW(A497),ROW(A497),0)</f>
        <v>0</v>
      </c>
      <c r="B498" t="str">
        <f>IF(AND(A498&gt;0,A498&lt;='Output Report'!$H$71+1),B497+MC_hist!$M$11/'Output Report'!$H$71,"")</f>
        <v/>
      </c>
      <c r="C498" t="str">
        <f t="shared" si="24"/>
        <v/>
      </c>
      <c r="D498" s="45" t="str">
        <f>IF(A499&gt;0,C498/'Output Report'!$H$70,"")</f>
        <v/>
      </c>
      <c r="E498" s="46" t="str">
        <f>IF(A499&gt;0,SUM($D$2:D498),"")</f>
        <v/>
      </c>
      <c r="F498" t="str">
        <f t="shared" si="25"/>
        <v/>
      </c>
      <c r="G498" t="str">
        <f t="shared" si="23"/>
        <v/>
      </c>
    </row>
    <row r="499" spans="1:7" x14ac:dyDescent="0.3">
      <c r="A499">
        <f>IF('Output Report'!$H$71+2&gt;ROW(A498),ROW(A498),0)</f>
        <v>0</v>
      </c>
      <c r="B499" t="str">
        <f>IF(AND(A499&gt;0,A499&lt;='Output Report'!$H$71+1),B498+MC_hist!$M$11/'Output Report'!$H$71,"")</f>
        <v/>
      </c>
      <c r="C499" t="str">
        <f t="shared" si="24"/>
        <v/>
      </c>
      <c r="D499" s="45" t="str">
        <f>IF(A500&gt;0,C499/'Output Report'!$H$70,"")</f>
        <v/>
      </c>
      <c r="E499" s="46" t="str">
        <f>IF(A500&gt;0,SUM($D$2:D499),"")</f>
        <v/>
      </c>
      <c r="F499" t="str">
        <f t="shared" si="25"/>
        <v/>
      </c>
      <c r="G499" t="str">
        <f t="shared" si="23"/>
        <v/>
      </c>
    </row>
    <row r="500" spans="1:7" x14ac:dyDescent="0.3">
      <c r="A500">
        <f>IF('Output Report'!$H$71+2&gt;ROW(A499),ROW(A499),0)</f>
        <v>0</v>
      </c>
      <c r="B500" t="str">
        <f>IF(AND(A500&gt;0,A500&lt;='Output Report'!$H$71+1),B499+MC_hist!$M$11/'Output Report'!$H$71,"")</f>
        <v/>
      </c>
      <c r="C500" t="str">
        <f t="shared" si="24"/>
        <v/>
      </c>
      <c r="D500" s="45" t="str">
        <f>IF(A501&gt;0,C500/'Output Report'!$H$70,"")</f>
        <v/>
      </c>
      <c r="E500" s="46" t="str">
        <f>IF(A501&gt;0,SUM($D$2:D500),"")</f>
        <v/>
      </c>
      <c r="F500" t="str">
        <f t="shared" si="25"/>
        <v/>
      </c>
      <c r="G500" t="str">
        <f t="shared" si="23"/>
        <v/>
      </c>
    </row>
    <row r="501" spans="1:7" x14ac:dyDescent="0.3">
      <c r="A501">
        <f>IF('Output Report'!$H$71+2&gt;ROW(A500),ROW(A500),0)</f>
        <v>0</v>
      </c>
      <c r="B501" t="str">
        <f>IF(AND(A501&gt;0,A501&lt;='Output Report'!$H$71+1),B500+MC_hist!$M$11/'Output Report'!$H$71,"")</f>
        <v/>
      </c>
      <c r="C501" t="str">
        <f t="shared" si="24"/>
        <v/>
      </c>
      <c r="D501" s="45" t="str">
        <f>IF(A502&gt;0,C501/'Output Report'!$H$70,"")</f>
        <v/>
      </c>
      <c r="E501" s="46" t="str">
        <f>IF(A502&gt;0,SUM($D$2:D501),"")</f>
        <v/>
      </c>
      <c r="F501" t="str">
        <f t="shared" si="25"/>
        <v/>
      </c>
      <c r="G501" t="str">
        <f t="shared" si="23"/>
        <v/>
      </c>
    </row>
    <row r="502" spans="1:7" x14ac:dyDescent="0.3">
      <c r="A502">
        <f>IF('Output Report'!$H$71+2&gt;ROW(A501),ROW(A501),0)</f>
        <v>0</v>
      </c>
      <c r="B502" t="str">
        <f>IF(AND(A502&gt;0,A502&lt;='Output Report'!$H$71+1),B501+MC_hist!$M$11/'Output Report'!$H$71,"")</f>
        <v/>
      </c>
      <c r="C502" t="str">
        <f t="shared" si="24"/>
        <v/>
      </c>
      <c r="D502" s="45" t="str">
        <f>IF(A503&gt;0,C502/'Output Report'!$H$70,"")</f>
        <v/>
      </c>
      <c r="E502" s="46" t="str">
        <f>IF(A503&gt;0,SUM($D$2:D502),"")</f>
        <v/>
      </c>
      <c r="F502" t="str">
        <f t="shared" si="25"/>
        <v/>
      </c>
      <c r="G502" t="str">
        <f t="shared" si="23"/>
        <v/>
      </c>
    </row>
    <row r="503" spans="1:7" x14ac:dyDescent="0.3">
      <c r="A503">
        <f>IF('Output Report'!$H$71+2&gt;ROW(A502),ROW(A502),0)</f>
        <v>0</v>
      </c>
      <c r="B503" t="str">
        <f>IF(AND(A503&gt;0,A503&lt;='Output Report'!$H$71+1),B502+MC_hist!$M$11/'Output Report'!$H$71,"")</f>
        <v/>
      </c>
      <c r="C503" t="str">
        <f t="shared" si="24"/>
        <v/>
      </c>
      <c r="D503" s="45" t="str">
        <f>IF(A504&gt;0,C503/'Output Report'!$H$70,"")</f>
        <v/>
      </c>
      <c r="E503" s="46" t="str">
        <f>IF(A504&gt;0,SUM($D$2:D503),"")</f>
        <v/>
      </c>
      <c r="F503" t="str">
        <f t="shared" si="25"/>
        <v/>
      </c>
      <c r="G503" t="str">
        <f t="shared" si="23"/>
        <v/>
      </c>
    </row>
    <row r="504" spans="1:7" x14ac:dyDescent="0.3">
      <c r="A504">
        <f>IF('Output Report'!$H$71+2&gt;ROW(A503),ROW(A503),0)</f>
        <v>0</v>
      </c>
      <c r="B504" t="str">
        <f>IF(AND(A504&gt;0,A504&lt;='Output Report'!$H$71+1),B503+MC_hist!$M$11/'Output Report'!$H$71,"")</f>
        <v/>
      </c>
      <c r="C504" t="str">
        <f t="shared" si="24"/>
        <v/>
      </c>
      <c r="D504" s="45" t="str">
        <f>IF(A505&gt;0,C504/'Output Report'!$H$70,"")</f>
        <v/>
      </c>
      <c r="E504" s="46" t="str">
        <f>IF(A505&gt;0,SUM($D$2:D504),"")</f>
        <v/>
      </c>
      <c r="F504" t="str">
        <f t="shared" si="25"/>
        <v/>
      </c>
      <c r="G504" t="str">
        <f t="shared" si="23"/>
        <v/>
      </c>
    </row>
    <row r="505" spans="1:7" x14ac:dyDescent="0.3">
      <c r="A505">
        <f>IF('Output Report'!$H$71+2&gt;ROW(A504),ROW(A504),0)</f>
        <v>0</v>
      </c>
      <c r="B505" t="str">
        <f>IF(AND(A505&gt;0,A505&lt;='Output Report'!$H$71+1),B504+MC_hist!$M$11/'Output Report'!$H$71,"")</f>
        <v/>
      </c>
      <c r="C505" t="str">
        <f t="shared" si="24"/>
        <v/>
      </c>
      <c r="D505" s="45" t="str">
        <f>IF(A506&gt;0,C505/'Output Report'!$H$70,"")</f>
        <v/>
      </c>
      <c r="E505" s="46" t="str">
        <f>IF(A506&gt;0,SUM($D$2:D505),"")</f>
        <v/>
      </c>
      <c r="F505" t="str">
        <f t="shared" si="25"/>
        <v/>
      </c>
      <c r="G505" t="str">
        <f t="shared" si="23"/>
        <v/>
      </c>
    </row>
    <row r="506" spans="1:7" x14ac:dyDescent="0.3">
      <c r="A506">
        <f>IF('Output Report'!$H$71+2&gt;ROW(A505),ROW(A505),0)</f>
        <v>0</v>
      </c>
      <c r="B506" t="str">
        <f>IF(AND(A506&gt;0,A506&lt;='Output Report'!$H$71+1),B505+MC_hist!$M$11/'Output Report'!$H$71,"")</f>
        <v/>
      </c>
      <c r="C506" t="str">
        <f t="shared" si="24"/>
        <v/>
      </c>
      <c r="D506" s="45" t="str">
        <f>IF(A507&gt;0,C506/'Output Report'!$H$70,"")</f>
        <v/>
      </c>
      <c r="E506" s="46" t="str">
        <f>IF(A507&gt;0,SUM($D$2:D506),"")</f>
        <v/>
      </c>
      <c r="F506" t="str">
        <f t="shared" si="25"/>
        <v/>
      </c>
      <c r="G506" t="str">
        <f t="shared" si="23"/>
        <v/>
      </c>
    </row>
    <row r="507" spans="1:7" x14ac:dyDescent="0.3">
      <c r="A507">
        <f>IF('Output Report'!$H$71+2&gt;ROW(A506),ROW(A506),0)</f>
        <v>0</v>
      </c>
      <c r="B507" t="str">
        <f>IF(AND(A507&gt;0,A507&lt;='Output Report'!$H$71+1),B506+MC_hist!$M$11/'Output Report'!$H$71,"")</f>
        <v/>
      </c>
      <c r="C507" t="str">
        <f t="shared" si="24"/>
        <v/>
      </c>
      <c r="D507" s="45" t="str">
        <f>IF(A508&gt;0,C507/'Output Report'!$H$70,"")</f>
        <v/>
      </c>
      <c r="E507" s="46" t="str">
        <f>IF(A508&gt;0,SUM($D$2:D507),"")</f>
        <v/>
      </c>
      <c r="F507" t="str">
        <f t="shared" si="25"/>
        <v/>
      </c>
      <c r="G507" t="str">
        <f t="shared" si="23"/>
        <v/>
      </c>
    </row>
    <row r="508" spans="1:7" x14ac:dyDescent="0.3">
      <c r="A508">
        <f>IF('Output Report'!$H$71+2&gt;ROW(A507),ROW(A507),0)</f>
        <v>0</v>
      </c>
      <c r="B508" t="str">
        <f>IF(AND(A508&gt;0,A508&lt;='Output Report'!$H$71+1),B507+MC_hist!$M$11/'Output Report'!$H$71,"")</f>
        <v/>
      </c>
      <c r="C508" t="str">
        <f t="shared" si="24"/>
        <v/>
      </c>
      <c r="D508" s="45" t="str">
        <f>IF(A509&gt;0,C508/'Output Report'!$H$70,"")</f>
        <v/>
      </c>
      <c r="E508" s="46" t="str">
        <f>IF(A509&gt;0,SUM($D$2:D508),"")</f>
        <v/>
      </c>
      <c r="F508" t="str">
        <f t="shared" si="25"/>
        <v/>
      </c>
      <c r="G508" t="str">
        <f t="shared" si="23"/>
        <v/>
      </c>
    </row>
    <row r="509" spans="1:7" x14ac:dyDescent="0.3">
      <c r="A509">
        <f>IF('Output Report'!$H$71+2&gt;ROW(A508),ROW(A508),0)</f>
        <v>0</v>
      </c>
      <c r="B509" t="str">
        <f>IF(AND(A509&gt;0,A509&lt;='Output Report'!$H$71+1),B508+MC_hist!$M$11/'Output Report'!$H$71,"")</f>
        <v/>
      </c>
      <c r="C509" t="str">
        <f t="shared" si="24"/>
        <v/>
      </c>
      <c r="D509" s="45" t="str">
        <f>IF(A510&gt;0,C509/'Output Report'!$H$70,"")</f>
        <v/>
      </c>
      <c r="E509" s="46" t="str">
        <f>IF(A510&gt;0,SUM($D$2:D509),"")</f>
        <v/>
      </c>
      <c r="F509" t="str">
        <f t="shared" si="25"/>
        <v/>
      </c>
      <c r="G509" t="str">
        <f t="shared" si="23"/>
        <v/>
      </c>
    </row>
    <row r="510" spans="1:7" x14ac:dyDescent="0.3">
      <c r="A510">
        <f>IF('Output Report'!$H$71+2&gt;ROW(A509),ROW(A509),0)</f>
        <v>0</v>
      </c>
      <c r="B510" t="str">
        <f>IF(AND(A510&gt;0,A510&lt;='Output Report'!$H$71+1),B509+MC_hist!$M$11/'Output Report'!$H$71,"")</f>
        <v/>
      </c>
      <c r="C510" t="str">
        <f t="shared" si="24"/>
        <v/>
      </c>
      <c r="D510" s="45" t="str">
        <f>IF(A511&gt;0,C510/'Output Report'!$H$70,"")</f>
        <v/>
      </c>
      <c r="E510" s="46" t="str">
        <f>IF(A511&gt;0,SUM($D$2:D510),"")</f>
        <v/>
      </c>
      <c r="F510" t="str">
        <f t="shared" si="25"/>
        <v/>
      </c>
      <c r="G510" t="str">
        <f t="shared" si="23"/>
        <v/>
      </c>
    </row>
    <row r="511" spans="1:7" x14ac:dyDescent="0.3">
      <c r="A511">
        <f>IF('Output Report'!$H$71+2&gt;ROW(A510),ROW(A510),0)</f>
        <v>0</v>
      </c>
      <c r="B511" t="str">
        <f>IF(AND(A511&gt;0,A511&lt;='Output Report'!$H$71+1),B510+MC_hist!$M$11/'Output Report'!$H$71,"")</f>
        <v/>
      </c>
      <c r="C511" t="str">
        <f t="shared" si="24"/>
        <v/>
      </c>
      <c r="D511" s="45" t="str">
        <f>IF(A512&gt;0,C511/'Output Report'!$H$70,"")</f>
        <v/>
      </c>
      <c r="E511" s="46" t="str">
        <f>IF(A512&gt;0,SUM($D$2:D511),"")</f>
        <v/>
      </c>
      <c r="F511" t="str">
        <f t="shared" si="25"/>
        <v/>
      </c>
      <c r="G511" t="str">
        <f t="shared" si="23"/>
        <v/>
      </c>
    </row>
    <row r="512" spans="1:7" x14ac:dyDescent="0.3">
      <c r="A512">
        <f>IF('Output Report'!$H$71+2&gt;ROW(A511),ROW(A511),0)</f>
        <v>0</v>
      </c>
      <c r="B512" t="str">
        <f>IF(AND(A512&gt;0,A512&lt;='Output Report'!$H$71+1),B511+MC_hist!$M$11/'Output Report'!$H$71,"")</f>
        <v/>
      </c>
      <c r="C512" t="str">
        <f t="shared" si="24"/>
        <v/>
      </c>
      <c r="D512" s="45" t="str">
        <f>IF(A513&gt;0,C512/'Output Report'!$H$70,"")</f>
        <v/>
      </c>
      <c r="E512" s="46" t="str">
        <f>IF(A513&gt;0,SUM($D$2:D512),"")</f>
        <v/>
      </c>
      <c r="F512" t="str">
        <f t="shared" si="25"/>
        <v/>
      </c>
      <c r="G512" t="str">
        <f t="shared" si="23"/>
        <v/>
      </c>
    </row>
    <row r="513" spans="1:7" x14ac:dyDescent="0.3">
      <c r="A513">
        <f>IF('Output Report'!$H$71+2&gt;ROW(A512),ROW(A512),0)</f>
        <v>0</v>
      </c>
      <c r="B513" t="str">
        <f>IF(AND(A513&gt;0,A513&lt;='Output Report'!$H$71+1),B512+MC_hist!$M$11/'Output Report'!$H$71,"")</f>
        <v/>
      </c>
      <c r="C513" t="str">
        <f t="shared" si="24"/>
        <v/>
      </c>
      <c r="D513" s="45" t="str">
        <f>IF(A514&gt;0,C513/'Output Report'!$H$70,"")</f>
        <v/>
      </c>
      <c r="E513" s="46" t="str">
        <f>IF(A514&gt;0,SUM($D$2:D513),"")</f>
        <v/>
      </c>
      <c r="F513" t="str">
        <f t="shared" si="25"/>
        <v/>
      </c>
      <c r="G513" t="str">
        <f t="shared" si="23"/>
        <v/>
      </c>
    </row>
    <row r="514" spans="1:7" x14ac:dyDescent="0.3">
      <c r="A514">
        <f>IF('Output Report'!$H$71+2&gt;ROW(A513),ROW(A513),0)</f>
        <v>0</v>
      </c>
      <c r="B514" t="str">
        <f>IF(AND(A514&gt;0,A514&lt;='Output Report'!$H$71+1),B513+MC_hist!$M$11/'Output Report'!$H$71,"")</f>
        <v/>
      </c>
      <c r="C514" t="str">
        <f t="shared" si="24"/>
        <v/>
      </c>
      <c r="D514" s="45" t="str">
        <f>IF(A515&gt;0,C514/'Output Report'!$H$70,"")</f>
        <v/>
      </c>
      <c r="E514" s="46" t="str">
        <f>IF(A515&gt;0,SUM($D$2:D514),"")</f>
        <v/>
      </c>
      <c r="F514" t="str">
        <f t="shared" si="25"/>
        <v/>
      </c>
      <c r="G514" t="str">
        <f t="shared" si="23"/>
        <v/>
      </c>
    </row>
    <row r="515" spans="1:7" x14ac:dyDescent="0.3">
      <c r="A515">
        <f>IF('Output Report'!$H$71+2&gt;ROW(A514),ROW(A514),0)</f>
        <v>0</v>
      </c>
      <c r="B515" t="str">
        <f>IF(AND(A515&gt;0,A515&lt;='Output Report'!$H$71+1),B514+MC_hist!$M$11/'Output Report'!$H$71,"")</f>
        <v/>
      </c>
      <c r="C515" t="str">
        <f t="shared" si="24"/>
        <v/>
      </c>
      <c r="D515" s="45" t="str">
        <f>IF(A516&gt;0,C515/'Output Report'!$H$70,"")</f>
        <v/>
      </c>
      <c r="E515" s="46" t="str">
        <f>IF(A516&gt;0,SUM($D$2:D515),"")</f>
        <v/>
      </c>
      <c r="F515" t="str">
        <f t="shared" si="25"/>
        <v/>
      </c>
      <c r="G515" t="str">
        <f t="shared" ref="G515:G578" si="26">IF(B515&lt;=0,E515,"")</f>
        <v/>
      </c>
    </row>
    <row r="516" spans="1:7" x14ac:dyDescent="0.3">
      <c r="A516">
        <f>IF('Output Report'!$H$71+2&gt;ROW(A515),ROW(A515),0)</f>
        <v>0</v>
      </c>
      <c r="B516" t="str">
        <f>IF(AND(A516&gt;0,A516&lt;='Output Report'!$H$71+1),B515+MC_hist!$M$11/'Output Report'!$H$71,"")</f>
        <v/>
      </c>
      <c r="C516" t="str">
        <f t="shared" si="24"/>
        <v/>
      </c>
      <c r="D516" s="45" t="str">
        <f>IF(A517&gt;0,C516/'Output Report'!$H$70,"")</f>
        <v/>
      </c>
      <c r="E516" s="46" t="str">
        <f>IF(A517&gt;0,SUM($D$2:D516),"")</f>
        <v/>
      </c>
      <c r="F516" t="str">
        <f t="shared" si="25"/>
        <v/>
      </c>
      <c r="G516" t="str">
        <f t="shared" si="26"/>
        <v/>
      </c>
    </row>
    <row r="517" spans="1:7" x14ac:dyDescent="0.3">
      <c r="A517">
        <f>IF('Output Report'!$H$71+2&gt;ROW(A516),ROW(A516),0)</f>
        <v>0</v>
      </c>
      <c r="B517" t="str">
        <f>IF(AND(A517&gt;0,A517&lt;='Output Report'!$H$71+1),B516+MC_hist!$M$11/'Output Report'!$H$71,"")</f>
        <v/>
      </c>
      <c r="C517" t="str">
        <f t="shared" si="24"/>
        <v/>
      </c>
      <c r="D517" s="45" t="str">
        <f>IF(A518&gt;0,C517/'Output Report'!$H$70,"")</f>
        <v/>
      </c>
      <c r="E517" s="46" t="str">
        <f>IF(A518&gt;0,SUM($D$2:D517),"")</f>
        <v/>
      </c>
      <c r="F517" t="str">
        <f t="shared" si="25"/>
        <v/>
      </c>
      <c r="G517" t="str">
        <f t="shared" si="26"/>
        <v/>
      </c>
    </row>
    <row r="518" spans="1:7" x14ac:dyDescent="0.3">
      <c r="A518">
        <f>IF('Output Report'!$H$71+2&gt;ROW(A517),ROW(A517),0)</f>
        <v>0</v>
      </c>
      <c r="B518" t="str">
        <f>IF(AND(A518&gt;0,A518&lt;='Output Report'!$H$71+1),B517+MC_hist!$M$11/'Output Report'!$H$71,"")</f>
        <v/>
      </c>
      <c r="C518" t="str">
        <f t="shared" si="24"/>
        <v/>
      </c>
      <c r="D518" s="45" t="str">
        <f>IF(A519&gt;0,C518/'Output Report'!$H$70,"")</f>
        <v/>
      </c>
      <c r="E518" s="46" t="str">
        <f>IF(A519&gt;0,SUM($D$2:D518),"")</f>
        <v/>
      </c>
      <c r="F518" t="str">
        <f t="shared" si="25"/>
        <v/>
      </c>
      <c r="G518" t="str">
        <f t="shared" si="26"/>
        <v/>
      </c>
    </row>
    <row r="519" spans="1:7" x14ac:dyDescent="0.3">
      <c r="A519">
        <f>IF('Output Report'!$H$71+2&gt;ROW(A518),ROW(A518),0)</f>
        <v>0</v>
      </c>
      <c r="B519" t="str">
        <f>IF(AND(A519&gt;0,A519&lt;='Output Report'!$H$71+1),B518+MC_hist!$M$11/'Output Report'!$H$71,"")</f>
        <v/>
      </c>
      <c r="C519" t="str">
        <f t="shared" si="24"/>
        <v/>
      </c>
      <c r="D519" s="45" t="str">
        <f>IF(A520&gt;0,C519/'Output Report'!$H$70,"")</f>
        <v/>
      </c>
      <c r="E519" s="46" t="str">
        <f>IF(A520&gt;0,SUM($D$2:D519),"")</f>
        <v/>
      </c>
      <c r="F519" t="str">
        <f t="shared" si="25"/>
        <v/>
      </c>
      <c r="G519" t="str">
        <f t="shared" si="26"/>
        <v/>
      </c>
    </row>
    <row r="520" spans="1:7" x14ac:dyDescent="0.3">
      <c r="A520">
        <f>IF('Output Report'!$H$71+2&gt;ROW(A519),ROW(A519),0)</f>
        <v>0</v>
      </c>
      <c r="B520" t="str">
        <f>IF(AND(A520&gt;0,A520&lt;='Output Report'!$H$71+1),B519+MC_hist!$M$11/'Output Report'!$H$71,"")</f>
        <v/>
      </c>
      <c r="C520" t="str">
        <f t="shared" si="24"/>
        <v/>
      </c>
      <c r="D520" s="45" t="str">
        <f>IF(A521&gt;0,C520/'Output Report'!$H$70,"")</f>
        <v/>
      </c>
      <c r="E520" s="46" t="str">
        <f>IF(A521&gt;0,SUM($D$2:D520),"")</f>
        <v/>
      </c>
      <c r="F520" t="str">
        <f t="shared" si="25"/>
        <v/>
      </c>
      <c r="G520" t="str">
        <f t="shared" si="26"/>
        <v/>
      </c>
    </row>
    <row r="521" spans="1:7" x14ac:dyDescent="0.3">
      <c r="A521">
        <f>IF('Output Report'!$H$71+2&gt;ROW(A520),ROW(A520),0)</f>
        <v>0</v>
      </c>
      <c r="B521" t="str">
        <f>IF(AND(A521&gt;0,A521&lt;='Output Report'!$H$71+1),B520+MC_hist!$M$11/'Output Report'!$H$71,"")</f>
        <v/>
      </c>
      <c r="C521" t="str">
        <f t="shared" si="24"/>
        <v/>
      </c>
      <c r="D521" s="45" t="str">
        <f>IF(A522&gt;0,C521/'Output Report'!$H$70,"")</f>
        <v/>
      </c>
      <c r="E521" s="46" t="str">
        <f>IF(A522&gt;0,SUM($D$2:D521),"")</f>
        <v/>
      </c>
      <c r="F521" t="str">
        <f t="shared" si="25"/>
        <v/>
      </c>
      <c r="G521" t="str">
        <f t="shared" si="26"/>
        <v/>
      </c>
    </row>
    <row r="522" spans="1:7" x14ac:dyDescent="0.3">
      <c r="A522">
        <f>IF('Output Report'!$H$71+2&gt;ROW(A521),ROW(A521),0)</f>
        <v>0</v>
      </c>
      <c r="B522" t="str">
        <f>IF(AND(A522&gt;0,A522&lt;='Output Report'!$H$71+1),B521+MC_hist!$M$11/'Output Report'!$H$71,"")</f>
        <v/>
      </c>
      <c r="C522" t="str">
        <f t="shared" si="24"/>
        <v/>
      </c>
      <c r="D522" s="45" t="str">
        <f>IF(A523&gt;0,C522/'Output Report'!$H$70,"")</f>
        <v/>
      </c>
      <c r="E522" s="46" t="str">
        <f>IF(A523&gt;0,SUM($D$2:D522),"")</f>
        <v/>
      </c>
      <c r="F522" t="str">
        <f t="shared" si="25"/>
        <v/>
      </c>
      <c r="G522" t="str">
        <f t="shared" si="26"/>
        <v/>
      </c>
    </row>
    <row r="523" spans="1:7" x14ac:dyDescent="0.3">
      <c r="A523">
        <f>IF('Output Report'!$H$71+2&gt;ROW(A522),ROW(A522),0)</f>
        <v>0</v>
      </c>
      <c r="B523" t="str">
        <f>IF(AND(A523&gt;0,A523&lt;='Output Report'!$H$71+1),B522+MC_hist!$M$11/'Output Report'!$H$71,"")</f>
        <v/>
      </c>
      <c r="C523" t="str">
        <f t="shared" si="24"/>
        <v/>
      </c>
      <c r="D523" s="45" t="str">
        <f>IF(A524&gt;0,C523/'Output Report'!$H$70,"")</f>
        <v/>
      </c>
      <c r="E523" s="46" t="str">
        <f>IF(A524&gt;0,SUM($D$2:D523),"")</f>
        <v/>
      </c>
      <c r="F523" t="str">
        <f t="shared" si="25"/>
        <v/>
      </c>
      <c r="G523" t="str">
        <f t="shared" si="26"/>
        <v/>
      </c>
    </row>
    <row r="524" spans="1:7" x14ac:dyDescent="0.3">
      <c r="A524">
        <f>IF('Output Report'!$H$71+2&gt;ROW(A523),ROW(A523),0)</f>
        <v>0</v>
      </c>
      <c r="B524" t="str">
        <f>IF(AND(A524&gt;0,A524&lt;='Output Report'!$H$71+1),B523+MC_hist!$M$11/'Output Report'!$H$71,"")</f>
        <v/>
      </c>
      <c r="C524" t="str">
        <f t="shared" si="24"/>
        <v/>
      </c>
      <c r="D524" s="45" t="str">
        <f>IF(A525&gt;0,C524/'Output Report'!$H$70,"")</f>
        <v/>
      </c>
      <c r="E524" s="46" t="str">
        <f>IF(A525&gt;0,SUM($D$2:D524),"")</f>
        <v/>
      </c>
      <c r="F524" t="str">
        <f t="shared" si="25"/>
        <v/>
      </c>
      <c r="G524" t="str">
        <f t="shared" si="26"/>
        <v/>
      </c>
    </row>
    <row r="525" spans="1:7" x14ac:dyDescent="0.3">
      <c r="A525">
        <f>IF('Output Report'!$H$71+2&gt;ROW(A524),ROW(A524),0)</f>
        <v>0</v>
      </c>
      <c r="B525" t="str">
        <f>IF(AND(A525&gt;0,A525&lt;='Output Report'!$H$71+1),B524+MC_hist!$M$11/'Output Report'!$H$71,"")</f>
        <v/>
      </c>
      <c r="C525" t="str">
        <f t="shared" si="24"/>
        <v/>
      </c>
      <c r="D525" s="45" t="str">
        <f>IF(A526&gt;0,C525/'Output Report'!$H$70,"")</f>
        <v/>
      </c>
      <c r="E525" s="46" t="str">
        <f>IF(A526&gt;0,SUM($D$2:D525),"")</f>
        <v/>
      </c>
      <c r="F525" t="str">
        <f t="shared" si="25"/>
        <v/>
      </c>
      <c r="G525" t="str">
        <f t="shared" si="26"/>
        <v/>
      </c>
    </row>
    <row r="526" spans="1:7" x14ac:dyDescent="0.3">
      <c r="A526">
        <f>IF('Output Report'!$H$71+2&gt;ROW(A525),ROW(A525),0)</f>
        <v>0</v>
      </c>
      <c r="B526" t="str">
        <f>IF(AND(A526&gt;0,A526&lt;='Output Report'!$H$71+1),B525+MC_hist!$M$11/'Output Report'!$H$71,"")</f>
        <v/>
      </c>
      <c r="C526" t="str">
        <f t="shared" si="24"/>
        <v/>
      </c>
      <c r="D526" s="45" t="str">
        <f>IF(A527&gt;0,C526/'Output Report'!$H$70,"")</f>
        <v/>
      </c>
      <c r="E526" s="46" t="str">
        <f>IF(A527&gt;0,SUM($D$2:D526),"")</f>
        <v/>
      </c>
      <c r="F526" t="str">
        <f t="shared" si="25"/>
        <v/>
      </c>
      <c r="G526" t="str">
        <f t="shared" si="26"/>
        <v/>
      </c>
    </row>
    <row r="527" spans="1:7" x14ac:dyDescent="0.3">
      <c r="A527">
        <f>IF('Output Report'!$H$71+2&gt;ROW(A526),ROW(A526),0)</f>
        <v>0</v>
      </c>
      <c r="B527" t="str">
        <f>IF(AND(A527&gt;0,A527&lt;='Output Report'!$H$71+1),B526+MC_hist!$M$11/'Output Report'!$H$71,"")</f>
        <v/>
      </c>
      <c r="C527" t="str">
        <f t="shared" si="24"/>
        <v/>
      </c>
      <c r="D527" s="45" t="str">
        <f>IF(A528&gt;0,C527/'Output Report'!$H$70,"")</f>
        <v/>
      </c>
      <c r="E527" s="46" t="str">
        <f>IF(A528&gt;0,SUM($D$2:D527),"")</f>
        <v/>
      </c>
      <c r="F527" t="str">
        <f t="shared" si="25"/>
        <v/>
      </c>
      <c r="G527" t="str">
        <f t="shared" si="26"/>
        <v/>
      </c>
    </row>
    <row r="528" spans="1:7" x14ac:dyDescent="0.3">
      <c r="A528">
        <f>IF('Output Report'!$H$71+2&gt;ROW(A527),ROW(A527),0)</f>
        <v>0</v>
      </c>
      <c r="B528" t="str">
        <f>IF(AND(A528&gt;0,A528&lt;='Output Report'!$H$71+1),B527+MC_hist!$M$11/'Output Report'!$H$71,"")</f>
        <v/>
      </c>
      <c r="C528" t="str">
        <f t="shared" si="24"/>
        <v/>
      </c>
      <c r="D528" s="45" t="str">
        <f>IF(A529&gt;0,C528/'Output Report'!$H$70,"")</f>
        <v/>
      </c>
      <c r="E528" s="46" t="str">
        <f>IF(A529&gt;0,SUM($D$2:D528),"")</f>
        <v/>
      </c>
      <c r="F528" t="str">
        <f t="shared" si="25"/>
        <v/>
      </c>
      <c r="G528" t="str">
        <f t="shared" si="26"/>
        <v/>
      </c>
    </row>
    <row r="529" spans="1:7" x14ac:dyDescent="0.3">
      <c r="A529">
        <f>IF('Output Report'!$H$71+2&gt;ROW(A528),ROW(A528),0)</f>
        <v>0</v>
      </c>
      <c r="B529" t="str">
        <f>IF(AND(A529&gt;0,A529&lt;='Output Report'!$H$71+1),B528+MC_hist!$M$11/'Output Report'!$H$71,"")</f>
        <v/>
      </c>
      <c r="C529" t="str">
        <f t="shared" si="24"/>
        <v/>
      </c>
      <c r="D529" s="45" t="str">
        <f>IF(A530&gt;0,C529/'Output Report'!$H$70,"")</f>
        <v/>
      </c>
      <c r="E529" s="46" t="str">
        <f>IF(A530&gt;0,SUM($D$2:D529),"")</f>
        <v/>
      </c>
      <c r="F529" t="str">
        <f t="shared" si="25"/>
        <v/>
      </c>
      <c r="G529" t="str">
        <f t="shared" si="26"/>
        <v/>
      </c>
    </row>
    <row r="530" spans="1:7" x14ac:dyDescent="0.3">
      <c r="A530">
        <f>IF('Output Report'!$H$71+2&gt;ROW(A529),ROW(A529),0)</f>
        <v>0</v>
      </c>
      <c r="B530" t="str">
        <f>IF(AND(A530&gt;0,A530&lt;='Output Report'!$H$71+1),B529+MC_hist!$M$11/'Output Report'!$H$71,"")</f>
        <v/>
      </c>
      <c r="C530" t="str">
        <f t="shared" si="24"/>
        <v/>
      </c>
      <c r="D530" s="45" t="str">
        <f>IF(A531&gt;0,C530/'Output Report'!$H$70,"")</f>
        <v/>
      </c>
      <c r="E530" s="46" t="str">
        <f>IF(A531&gt;0,SUM($D$2:D530),"")</f>
        <v/>
      </c>
      <c r="F530" t="str">
        <f t="shared" si="25"/>
        <v/>
      </c>
      <c r="G530" t="str">
        <f t="shared" si="26"/>
        <v/>
      </c>
    </row>
    <row r="531" spans="1:7" x14ac:dyDescent="0.3">
      <c r="A531">
        <f>IF('Output Report'!$H$71+2&gt;ROW(A530),ROW(A530),0)</f>
        <v>0</v>
      </c>
      <c r="B531" t="str">
        <f>IF(AND(A531&gt;0,A531&lt;='Output Report'!$H$71+1),B530+MC_hist!$M$11/'Output Report'!$H$71,"")</f>
        <v/>
      </c>
      <c r="C531" t="str">
        <f t="shared" si="24"/>
        <v/>
      </c>
      <c r="D531" s="45" t="str">
        <f>IF(A532&gt;0,C531/'Output Report'!$H$70,"")</f>
        <v/>
      </c>
      <c r="E531" s="46" t="str">
        <f>IF(A532&gt;0,SUM($D$2:D531),"")</f>
        <v/>
      </c>
      <c r="F531" t="str">
        <f t="shared" si="25"/>
        <v/>
      </c>
      <c r="G531" t="str">
        <f t="shared" si="26"/>
        <v/>
      </c>
    </row>
    <row r="532" spans="1:7" x14ac:dyDescent="0.3">
      <c r="A532">
        <f>IF('Output Report'!$H$71+2&gt;ROW(A531),ROW(A531),0)</f>
        <v>0</v>
      </c>
      <c r="B532" t="str">
        <f>IF(AND(A532&gt;0,A532&lt;='Output Report'!$H$71+1),B531+MC_hist!$M$11/'Output Report'!$H$71,"")</f>
        <v/>
      </c>
      <c r="C532" t="str">
        <f t="shared" si="24"/>
        <v/>
      </c>
      <c r="D532" s="45" t="str">
        <f>IF(A533&gt;0,C532/'Output Report'!$H$70,"")</f>
        <v/>
      </c>
      <c r="E532" s="46" t="str">
        <f>IF(A533&gt;0,SUM($D$2:D532),"")</f>
        <v/>
      </c>
      <c r="F532" t="str">
        <f t="shared" si="25"/>
        <v/>
      </c>
      <c r="G532" t="str">
        <f t="shared" si="26"/>
        <v/>
      </c>
    </row>
    <row r="533" spans="1:7" x14ac:dyDescent="0.3">
      <c r="A533">
        <f>IF('Output Report'!$H$71+2&gt;ROW(A532),ROW(A532),0)</f>
        <v>0</v>
      </c>
      <c r="B533" t="str">
        <f>IF(AND(A533&gt;0,A533&lt;='Output Report'!$H$71+1),B532+MC_hist!$M$11/'Output Report'!$H$71,"")</f>
        <v/>
      </c>
      <c r="C533" t="str">
        <f t="shared" si="24"/>
        <v/>
      </c>
      <c r="D533" s="45" t="str">
        <f>IF(A534&gt;0,C533/'Output Report'!$H$70,"")</f>
        <v/>
      </c>
      <c r="E533" s="46" t="str">
        <f>IF(A534&gt;0,SUM($D$2:D533),"")</f>
        <v/>
      </c>
      <c r="F533" t="str">
        <f t="shared" si="25"/>
        <v/>
      </c>
      <c r="G533" t="str">
        <f t="shared" si="26"/>
        <v/>
      </c>
    </row>
    <row r="534" spans="1:7" x14ac:dyDescent="0.3">
      <c r="A534">
        <f>IF('Output Report'!$H$71+2&gt;ROW(A533),ROW(A533),0)</f>
        <v>0</v>
      </c>
      <c r="B534" t="str">
        <f>IF(AND(A534&gt;0,A534&lt;='Output Report'!$H$71+1),B533+MC_hist!$M$11/'Output Report'!$H$71,"")</f>
        <v/>
      </c>
      <c r="C534" t="str">
        <f t="shared" si="24"/>
        <v/>
      </c>
      <c r="D534" s="45" t="str">
        <f>IF(A535&gt;0,C534/'Output Report'!$H$70,"")</f>
        <v/>
      </c>
      <c r="E534" s="46" t="str">
        <f>IF(A535&gt;0,SUM($D$2:D534),"")</f>
        <v/>
      </c>
      <c r="F534" t="str">
        <f t="shared" si="25"/>
        <v/>
      </c>
      <c r="G534" t="str">
        <f t="shared" si="26"/>
        <v/>
      </c>
    </row>
    <row r="535" spans="1:7" x14ac:dyDescent="0.3">
      <c r="A535">
        <f>IF('Output Report'!$H$71+2&gt;ROW(A534),ROW(A534),0)</f>
        <v>0</v>
      </c>
      <c r="B535" t="str">
        <f>IF(AND(A535&gt;0,A535&lt;='Output Report'!$H$71+1),B534+MC_hist!$M$11/'Output Report'!$H$71,"")</f>
        <v/>
      </c>
      <c r="C535" t="str">
        <f t="shared" si="24"/>
        <v/>
      </c>
      <c r="D535" s="45" t="str">
        <f>IF(A536&gt;0,C535/'Output Report'!$H$70,"")</f>
        <v/>
      </c>
      <c r="E535" s="46" t="str">
        <f>IF(A536&gt;0,SUM($D$2:D535),"")</f>
        <v/>
      </c>
      <c r="F535" t="str">
        <f t="shared" si="25"/>
        <v/>
      </c>
      <c r="G535" t="str">
        <f t="shared" si="26"/>
        <v/>
      </c>
    </row>
    <row r="536" spans="1:7" x14ac:dyDescent="0.3">
      <c r="A536">
        <f>IF('Output Report'!$H$71+2&gt;ROW(A535),ROW(A535),0)</f>
        <v>0</v>
      </c>
      <c r="B536" t="str">
        <f>IF(AND(A536&gt;0,A536&lt;='Output Report'!$H$71+1),B535+MC_hist!$M$11/'Output Report'!$H$71,"")</f>
        <v/>
      </c>
      <c r="C536" t="str">
        <f t="shared" si="24"/>
        <v/>
      </c>
      <c r="D536" s="45" t="str">
        <f>IF(A537&gt;0,C536/'Output Report'!$H$70,"")</f>
        <v/>
      </c>
      <c r="E536" s="46" t="str">
        <f>IF(A537&gt;0,SUM($D$2:D536),"")</f>
        <v/>
      </c>
      <c r="F536" t="str">
        <f t="shared" si="25"/>
        <v/>
      </c>
      <c r="G536" t="str">
        <f t="shared" si="26"/>
        <v/>
      </c>
    </row>
    <row r="537" spans="1:7" x14ac:dyDescent="0.3">
      <c r="A537">
        <f>IF('Output Report'!$H$71+2&gt;ROW(A536),ROW(A536),0)</f>
        <v>0</v>
      </c>
      <c r="B537" t="str">
        <f>IF(AND(A537&gt;0,A537&lt;='Output Report'!$H$71+1),B536+MC_hist!$M$11/'Output Report'!$H$71,"")</f>
        <v/>
      </c>
      <c r="C537" t="str">
        <f t="shared" si="24"/>
        <v/>
      </c>
      <c r="D537" s="45" t="str">
        <f>IF(A538&gt;0,C537/'Output Report'!$H$70,"")</f>
        <v/>
      </c>
      <c r="E537" s="46" t="str">
        <f>IF(A538&gt;0,SUM($D$2:D537),"")</f>
        <v/>
      </c>
      <c r="F537" t="str">
        <f t="shared" si="25"/>
        <v/>
      </c>
      <c r="G537" t="str">
        <f t="shared" si="26"/>
        <v/>
      </c>
    </row>
    <row r="538" spans="1:7" x14ac:dyDescent="0.3">
      <c r="A538">
        <f>IF('Output Report'!$H$71+2&gt;ROW(A537),ROW(A537),0)</f>
        <v>0</v>
      </c>
      <c r="B538" t="str">
        <f>IF(AND(A538&gt;0,A538&lt;='Output Report'!$H$71+1),B537+MC_hist!$M$11/'Output Report'!$H$71,"")</f>
        <v/>
      </c>
      <c r="C538" t="str">
        <f t="shared" si="24"/>
        <v/>
      </c>
      <c r="D538" s="45" t="str">
        <f>IF(A539&gt;0,C538/'Output Report'!$H$70,"")</f>
        <v/>
      </c>
      <c r="E538" s="46" t="str">
        <f>IF(A539&gt;0,SUM($D$2:D538),"")</f>
        <v/>
      </c>
      <c r="F538" t="str">
        <f t="shared" si="25"/>
        <v/>
      </c>
      <c r="G538" t="str">
        <f t="shared" si="26"/>
        <v/>
      </c>
    </row>
    <row r="539" spans="1:7" x14ac:dyDescent="0.3">
      <c r="A539">
        <f>IF('Output Report'!$H$71+2&gt;ROW(A538),ROW(A538),0)</f>
        <v>0</v>
      </c>
      <c r="B539" t="str">
        <f>IF(AND(A539&gt;0,A539&lt;='Output Report'!$H$71+1),B538+MC_hist!$M$11/'Output Report'!$H$71,"")</f>
        <v/>
      </c>
      <c r="C539" t="str">
        <f t="shared" si="24"/>
        <v/>
      </c>
      <c r="D539" s="45" t="str">
        <f>IF(A540&gt;0,C539/'Output Report'!$H$70,"")</f>
        <v/>
      </c>
      <c r="E539" s="46" t="str">
        <f>IF(A540&gt;0,SUM($D$2:D539),"")</f>
        <v/>
      </c>
      <c r="F539" t="str">
        <f t="shared" si="25"/>
        <v/>
      </c>
      <c r="G539" t="str">
        <f t="shared" si="26"/>
        <v/>
      </c>
    </row>
    <row r="540" spans="1:7" x14ac:dyDescent="0.3">
      <c r="A540">
        <f>IF('Output Report'!$H$71+2&gt;ROW(A539),ROW(A539),0)</f>
        <v>0</v>
      </c>
      <c r="B540" t="str">
        <f>IF(AND(A540&gt;0,A540&lt;='Output Report'!$H$71+1),B539+MC_hist!$M$11/'Output Report'!$H$71,"")</f>
        <v/>
      </c>
      <c r="C540" t="str">
        <f t="shared" si="24"/>
        <v/>
      </c>
      <c r="D540" s="45" t="str">
        <f>IF(A541&gt;0,C540/'Output Report'!$H$70,"")</f>
        <v/>
      </c>
      <c r="E540" s="46" t="str">
        <f>IF(A541&gt;0,SUM($D$2:D540),"")</f>
        <v/>
      </c>
      <c r="F540" t="str">
        <f t="shared" si="25"/>
        <v/>
      </c>
      <c r="G540" t="str">
        <f t="shared" si="26"/>
        <v/>
      </c>
    </row>
    <row r="541" spans="1:7" x14ac:dyDescent="0.3">
      <c r="A541">
        <f>IF('Output Report'!$H$71+2&gt;ROW(A540),ROW(A540),0)</f>
        <v>0</v>
      </c>
      <c r="B541" t="str">
        <f>IF(AND(A541&gt;0,A541&lt;='Output Report'!$H$71+1),B540+MC_hist!$M$11/'Output Report'!$H$71,"")</f>
        <v/>
      </c>
      <c r="C541" t="str">
        <f t="shared" si="24"/>
        <v/>
      </c>
      <c r="D541" s="45" t="str">
        <f>IF(A542&gt;0,C541/'Output Report'!$H$70,"")</f>
        <v/>
      </c>
      <c r="E541" s="46" t="str">
        <f>IF(A542&gt;0,SUM($D$2:D541),"")</f>
        <v/>
      </c>
      <c r="F541" t="str">
        <f t="shared" si="25"/>
        <v/>
      </c>
      <c r="G541" t="str">
        <f t="shared" si="26"/>
        <v/>
      </c>
    </row>
    <row r="542" spans="1:7" x14ac:dyDescent="0.3">
      <c r="A542">
        <f>IF('Output Report'!$H$71+2&gt;ROW(A541),ROW(A541),0)</f>
        <v>0</v>
      </c>
      <c r="B542" t="str">
        <f>IF(AND(A542&gt;0,A542&lt;='Output Report'!$H$71+1),B541+MC_hist!$M$11/'Output Report'!$H$71,"")</f>
        <v/>
      </c>
      <c r="C542" t="str">
        <f t="shared" si="24"/>
        <v/>
      </c>
      <c r="D542" s="45" t="str">
        <f>IF(A543&gt;0,C542/'Output Report'!$H$70,"")</f>
        <v/>
      </c>
      <c r="E542" s="46" t="str">
        <f>IF(A543&gt;0,SUM($D$2:D542),"")</f>
        <v/>
      </c>
      <c r="F542" t="str">
        <f t="shared" si="25"/>
        <v/>
      </c>
      <c r="G542" t="str">
        <f t="shared" si="26"/>
        <v/>
      </c>
    </row>
    <row r="543" spans="1:7" x14ac:dyDescent="0.3">
      <c r="A543">
        <f>IF('Output Report'!$H$71+2&gt;ROW(A542),ROW(A542),0)</f>
        <v>0</v>
      </c>
      <c r="B543" t="str">
        <f>IF(AND(A543&gt;0,A543&lt;='Output Report'!$H$71+1),B542+MC_hist!$M$11/'Output Report'!$H$71,"")</f>
        <v/>
      </c>
      <c r="C543" t="str">
        <f t="shared" si="24"/>
        <v/>
      </c>
      <c r="D543" s="45" t="str">
        <f>IF(A544&gt;0,C543/'Output Report'!$H$70,"")</f>
        <v/>
      </c>
      <c r="E543" s="46" t="str">
        <f>IF(A544&gt;0,SUM($D$2:D543),"")</f>
        <v/>
      </c>
      <c r="F543" t="str">
        <f t="shared" si="25"/>
        <v/>
      </c>
      <c r="G543" t="str">
        <f t="shared" si="26"/>
        <v/>
      </c>
    </row>
    <row r="544" spans="1:7" x14ac:dyDescent="0.3">
      <c r="A544">
        <f>IF('Output Report'!$H$71+2&gt;ROW(A543),ROW(A543),0)</f>
        <v>0</v>
      </c>
      <c r="B544" t="str">
        <f>IF(AND(A544&gt;0,A544&lt;='Output Report'!$H$71+1),B543+MC_hist!$M$11/'Output Report'!$H$71,"")</f>
        <v/>
      </c>
      <c r="C544" t="str">
        <f t="shared" si="24"/>
        <v/>
      </c>
      <c r="D544" s="45" t="str">
        <f>IF(A545&gt;0,C544/'Output Report'!$H$70,"")</f>
        <v/>
      </c>
      <c r="E544" s="46" t="str">
        <f>IF(A545&gt;0,SUM($D$2:D544),"")</f>
        <v/>
      </c>
      <c r="F544" t="str">
        <f t="shared" si="25"/>
        <v/>
      </c>
      <c r="G544" t="str">
        <f t="shared" si="26"/>
        <v/>
      </c>
    </row>
    <row r="545" spans="1:7" x14ac:dyDescent="0.3">
      <c r="A545">
        <f>IF('Output Report'!$H$71+2&gt;ROW(A544),ROW(A544),0)</f>
        <v>0</v>
      </c>
      <c r="B545" t="str">
        <f>IF(AND(A545&gt;0,A545&lt;='Output Report'!$H$71+1),B544+MC_hist!$M$11/'Output Report'!$H$71,"")</f>
        <v/>
      </c>
      <c r="C545" t="str">
        <f t="shared" si="24"/>
        <v/>
      </c>
      <c r="D545" s="45" t="str">
        <f>IF(A546&gt;0,C545/'Output Report'!$H$70,"")</f>
        <v/>
      </c>
      <c r="E545" s="46" t="str">
        <f>IF(A546&gt;0,SUM($D$2:D545),"")</f>
        <v/>
      </c>
      <c r="F545" t="str">
        <f t="shared" si="25"/>
        <v/>
      </c>
      <c r="G545" t="str">
        <f t="shared" si="26"/>
        <v/>
      </c>
    </row>
    <row r="546" spans="1:7" x14ac:dyDescent="0.3">
      <c r="A546">
        <f>IF('Output Report'!$H$71+2&gt;ROW(A545),ROW(A545),0)</f>
        <v>0</v>
      </c>
      <c r="B546" t="str">
        <f>IF(AND(A546&gt;0,A546&lt;='Output Report'!$H$71+1),B545+MC_hist!$M$11/'Output Report'!$H$71,"")</f>
        <v/>
      </c>
      <c r="C546" t="str">
        <f t="shared" si="24"/>
        <v/>
      </c>
      <c r="D546" s="45" t="str">
        <f>IF(A547&gt;0,C546/'Output Report'!$H$70,"")</f>
        <v/>
      </c>
      <c r="E546" s="46" t="str">
        <f>IF(A547&gt;0,SUM($D$2:D546),"")</f>
        <v/>
      </c>
      <c r="F546" t="str">
        <f t="shared" si="25"/>
        <v/>
      </c>
      <c r="G546" t="str">
        <f t="shared" si="26"/>
        <v/>
      </c>
    </row>
    <row r="547" spans="1:7" x14ac:dyDescent="0.3">
      <c r="A547">
        <f>IF('Output Report'!$H$71+2&gt;ROW(A546),ROW(A546),0)</f>
        <v>0</v>
      </c>
      <c r="B547" t="str">
        <f>IF(AND(A547&gt;0,A547&lt;='Output Report'!$H$71+1),B546+MC_hist!$M$11/'Output Report'!$H$71,"")</f>
        <v/>
      </c>
      <c r="C547" t="str">
        <f t="shared" si="24"/>
        <v/>
      </c>
      <c r="D547" s="45" t="str">
        <f>IF(A548&gt;0,C547/'Output Report'!$H$70,"")</f>
        <v/>
      </c>
      <c r="E547" s="46" t="str">
        <f>IF(A548&gt;0,SUM($D$2:D547),"")</f>
        <v/>
      </c>
      <c r="F547" t="str">
        <f t="shared" si="25"/>
        <v/>
      </c>
      <c r="G547" t="str">
        <f t="shared" si="26"/>
        <v/>
      </c>
    </row>
    <row r="548" spans="1:7" x14ac:dyDescent="0.3">
      <c r="A548">
        <f>IF('Output Report'!$H$71+2&gt;ROW(A547),ROW(A547),0)</f>
        <v>0</v>
      </c>
      <c r="B548" t="str">
        <f>IF(AND(A548&gt;0,A548&lt;='Output Report'!$H$71+1),B547+MC_hist!$M$11/'Output Report'!$H$71,"")</f>
        <v/>
      </c>
      <c r="C548" t="str">
        <f t="shared" si="24"/>
        <v/>
      </c>
      <c r="D548" s="45" t="str">
        <f>IF(A549&gt;0,C548/'Output Report'!$H$70,"")</f>
        <v/>
      </c>
      <c r="E548" s="46" t="str">
        <f>IF(A549&gt;0,SUM($D$2:D548),"")</f>
        <v/>
      </c>
      <c r="F548" t="str">
        <f t="shared" si="25"/>
        <v/>
      </c>
      <c r="G548" t="str">
        <f t="shared" si="26"/>
        <v/>
      </c>
    </row>
    <row r="549" spans="1:7" x14ac:dyDescent="0.3">
      <c r="A549">
        <f>IF('Output Report'!$H$71+2&gt;ROW(A548),ROW(A548),0)</f>
        <v>0</v>
      </c>
      <c r="B549" t="str">
        <f>IF(AND(A549&gt;0,A549&lt;='Output Report'!$H$71+1),B548+MC_hist!$M$11/'Output Report'!$H$71,"")</f>
        <v/>
      </c>
      <c r="C549" t="str">
        <f t="shared" si="24"/>
        <v/>
      </c>
      <c r="D549" s="45" t="str">
        <f>IF(A550&gt;0,C549/'Output Report'!$H$70,"")</f>
        <v/>
      </c>
      <c r="E549" s="46" t="str">
        <f>IF(A550&gt;0,SUM($D$2:D549),"")</f>
        <v/>
      </c>
      <c r="F549" t="str">
        <f t="shared" si="25"/>
        <v/>
      </c>
      <c r="G549" t="str">
        <f t="shared" si="26"/>
        <v/>
      </c>
    </row>
    <row r="550" spans="1:7" x14ac:dyDescent="0.3">
      <c r="A550">
        <f>IF('Output Report'!$H$71+2&gt;ROW(A549),ROW(A549),0)</f>
        <v>0</v>
      </c>
      <c r="B550" t="str">
        <f>IF(AND(A550&gt;0,A550&lt;='Output Report'!$H$71+1),B549+MC_hist!$M$11/'Output Report'!$H$71,"")</f>
        <v/>
      </c>
      <c r="C550" t="str">
        <f t="shared" si="24"/>
        <v/>
      </c>
      <c r="D550" s="45" t="str">
        <f>IF(A551&gt;0,C550/'Output Report'!$H$70,"")</f>
        <v/>
      </c>
      <c r="E550" s="46" t="str">
        <f>IF(A551&gt;0,SUM($D$2:D550),"")</f>
        <v/>
      </c>
      <c r="F550" t="str">
        <f t="shared" si="25"/>
        <v/>
      </c>
      <c r="G550" t="str">
        <f t="shared" si="26"/>
        <v/>
      </c>
    </row>
    <row r="551" spans="1:7" x14ac:dyDescent="0.3">
      <c r="A551">
        <f>IF('Output Report'!$H$71+2&gt;ROW(A550),ROW(A550),0)</f>
        <v>0</v>
      </c>
      <c r="B551" t="str">
        <f>IF(AND(A551&gt;0,A551&lt;='Output Report'!$H$71+1),B550+MC_hist!$M$11/'Output Report'!$H$71,"")</f>
        <v/>
      </c>
      <c r="C551" t="str">
        <f t="shared" si="24"/>
        <v/>
      </c>
      <c r="D551" s="45" t="str">
        <f>IF(A552&gt;0,C551/'Output Report'!$H$70,"")</f>
        <v/>
      </c>
      <c r="E551" s="46" t="str">
        <f>IF(A552&gt;0,SUM($D$2:D551),"")</f>
        <v/>
      </c>
      <c r="F551" t="str">
        <f t="shared" si="25"/>
        <v/>
      </c>
      <c r="G551" t="str">
        <f t="shared" si="26"/>
        <v/>
      </c>
    </row>
    <row r="552" spans="1:7" x14ac:dyDescent="0.3">
      <c r="A552">
        <f>IF('Output Report'!$H$71+2&gt;ROW(A551),ROW(A551),0)</f>
        <v>0</v>
      </c>
      <c r="B552" t="str">
        <f>IF(AND(A552&gt;0,A552&lt;='Output Report'!$H$71+1),B551+MC_hist!$M$11/'Output Report'!$H$71,"")</f>
        <v/>
      </c>
      <c r="C552" t="str">
        <f t="shared" si="24"/>
        <v/>
      </c>
      <c r="D552" s="45" t="str">
        <f>IF(A553&gt;0,C552/'Output Report'!$H$70,"")</f>
        <v/>
      </c>
      <c r="E552" s="46" t="str">
        <f>IF(A553&gt;0,SUM($D$2:D552),"")</f>
        <v/>
      </c>
      <c r="F552" t="str">
        <f t="shared" si="25"/>
        <v/>
      </c>
      <c r="G552" t="str">
        <f t="shared" si="26"/>
        <v/>
      </c>
    </row>
    <row r="553" spans="1:7" x14ac:dyDescent="0.3">
      <c r="A553">
        <f>IF('Output Report'!$H$71+2&gt;ROW(A552),ROW(A552),0)</f>
        <v>0</v>
      </c>
      <c r="B553" t="str">
        <f>IF(AND(A553&gt;0,A553&lt;='Output Report'!$H$71+1),B552+MC_hist!$M$11/'Output Report'!$H$71,"")</f>
        <v/>
      </c>
      <c r="C553" t="str">
        <f t="shared" si="24"/>
        <v/>
      </c>
      <c r="D553" s="45" t="str">
        <f>IF(A554&gt;0,C553/'Output Report'!$H$70,"")</f>
        <v/>
      </c>
      <c r="E553" s="46" t="str">
        <f>IF(A554&gt;0,SUM($D$2:D553),"")</f>
        <v/>
      </c>
      <c r="F553" t="str">
        <f t="shared" si="25"/>
        <v/>
      </c>
      <c r="G553" t="str">
        <f t="shared" si="26"/>
        <v/>
      </c>
    </row>
    <row r="554" spans="1:7" x14ac:dyDescent="0.3">
      <c r="A554">
        <f>IF('Output Report'!$H$71+2&gt;ROW(A553),ROW(A553),0)</f>
        <v>0</v>
      </c>
      <c r="B554" t="str">
        <f>IF(AND(A554&gt;0,A554&lt;='Output Report'!$H$71+1),B553+MC_hist!$M$11/'Output Report'!$H$71,"")</f>
        <v/>
      </c>
      <c r="C554" t="str">
        <f t="shared" si="24"/>
        <v/>
      </c>
      <c r="D554" s="45" t="str">
        <f>IF(A555&gt;0,C554/'Output Report'!$H$70,"")</f>
        <v/>
      </c>
      <c r="E554" s="46" t="str">
        <f>IF(A555&gt;0,SUM($D$2:D554),"")</f>
        <v/>
      </c>
      <c r="F554" t="str">
        <f t="shared" si="25"/>
        <v/>
      </c>
      <c r="G554" t="str">
        <f t="shared" si="26"/>
        <v/>
      </c>
    </row>
    <row r="555" spans="1:7" x14ac:dyDescent="0.3">
      <c r="A555">
        <f>IF('Output Report'!$H$71+2&gt;ROW(A554),ROW(A554),0)</f>
        <v>0</v>
      </c>
      <c r="B555" t="str">
        <f>IF(AND(A555&gt;0,A555&lt;='Output Report'!$H$71+1),B554+MC_hist!$M$11/'Output Report'!$H$71,"")</f>
        <v/>
      </c>
      <c r="C555" t="str">
        <f t="shared" si="24"/>
        <v/>
      </c>
      <c r="D555" s="45" t="str">
        <f>IF(A556&gt;0,C555/'Output Report'!$H$70,"")</f>
        <v/>
      </c>
      <c r="E555" s="46" t="str">
        <f>IF(A556&gt;0,SUM($D$2:D555),"")</f>
        <v/>
      </c>
      <c r="F555" t="str">
        <f t="shared" si="25"/>
        <v/>
      </c>
      <c r="G555" t="str">
        <f t="shared" si="26"/>
        <v/>
      </c>
    </row>
    <row r="556" spans="1:7" x14ac:dyDescent="0.3">
      <c r="A556">
        <f>IF('Output Report'!$H$71+2&gt;ROW(A555),ROW(A555),0)</f>
        <v>0</v>
      </c>
      <c r="B556" t="str">
        <f>IF(AND(A556&gt;0,A556&lt;='Output Report'!$H$71+1),B555+MC_hist!$M$11/'Output Report'!$H$71,"")</f>
        <v/>
      </c>
      <c r="C556" t="str">
        <f t="shared" si="24"/>
        <v/>
      </c>
      <c r="D556" s="45" t="str">
        <f>IF(A557&gt;0,C556/'Output Report'!$H$70,"")</f>
        <v/>
      </c>
      <c r="E556" s="46" t="str">
        <f>IF(A557&gt;0,SUM($D$2:D556),"")</f>
        <v/>
      </c>
      <c r="F556" t="str">
        <f t="shared" si="25"/>
        <v/>
      </c>
      <c r="G556" t="str">
        <f t="shared" si="26"/>
        <v/>
      </c>
    </row>
    <row r="557" spans="1:7" x14ac:dyDescent="0.3">
      <c r="A557">
        <f>IF('Output Report'!$H$71+2&gt;ROW(A556),ROW(A556),0)</f>
        <v>0</v>
      </c>
      <c r="B557" t="str">
        <f>IF(AND(A557&gt;0,A557&lt;='Output Report'!$H$71+1),B556+MC_hist!$M$11/'Output Report'!$H$71,"")</f>
        <v/>
      </c>
      <c r="C557" t="str">
        <f t="shared" si="24"/>
        <v/>
      </c>
      <c r="D557" s="45" t="str">
        <f>IF(A558&gt;0,C557/'Output Report'!$H$70,"")</f>
        <v/>
      </c>
      <c r="E557" s="46" t="str">
        <f>IF(A558&gt;0,SUM($D$2:D557),"")</f>
        <v/>
      </c>
      <c r="F557" t="str">
        <f t="shared" si="25"/>
        <v/>
      </c>
      <c r="G557" t="str">
        <f t="shared" si="26"/>
        <v/>
      </c>
    </row>
    <row r="558" spans="1:7" x14ac:dyDescent="0.3">
      <c r="A558">
        <f>IF('Output Report'!$H$71+2&gt;ROW(A557),ROW(A557),0)</f>
        <v>0</v>
      </c>
      <c r="B558" t="str">
        <f>IF(AND(A558&gt;0,A558&lt;='Output Report'!$H$71+1),B557+MC_hist!$M$11/'Output Report'!$H$71,"")</f>
        <v/>
      </c>
      <c r="C558" t="str">
        <f t="shared" ref="C558:C621" si="27">IF(A559&gt;0,COUNTIFS(data_sim,"&gt;"&amp;B558,data_sim,"&lt;="&amp;B559),"")</f>
        <v/>
      </c>
      <c r="D558" s="45" t="str">
        <f>IF(A559&gt;0,C558/'Output Report'!$H$70,"")</f>
        <v/>
      </c>
      <c r="E558" s="46" t="str">
        <f>IF(A559&gt;0,SUM($D$2:D558),"")</f>
        <v/>
      </c>
      <c r="F558" t="str">
        <f t="shared" ref="F558:F621" si="28">IF(B558&lt;=0,D558,"")</f>
        <v/>
      </c>
      <c r="G558" t="str">
        <f t="shared" si="26"/>
        <v/>
      </c>
    </row>
    <row r="559" spans="1:7" x14ac:dyDescent="0.3">
      <c r="A559">
        <f>IF('Output Report'!$H$71+2&gt;ROW(A558),ROW(A558),0)</f>
        <v>0</v>
      </c>
      <c r="B559" t="str">
        <f>IF(AND(A559&gt;0,A559&lt;='Output Report'!$H$71+1),B558+MC_hist!$M$11/'Output Report'!$H$71,"")</f>
        <v/>
      </c>
      <c r="C559" t="str">
        <f t="shared" si="27"/>
        <v/>
      </c>
      <c r="D559" s="45" t="str">
        <f>IF(A560&gt;0,C559/'Output Report'!$H$70,"")</f>
        <v/>
      </c>
      <c r="E559" s="46" t="str">
        <f>IF(A560&gt;0,SUM($D$2:D559),"")</f>
        <v/>
      </c>
      <c r="F559" t="str">
        <f t="shared" si="28"/>
        <v/>
      </c>
      <c r="G559" t="str">
        <f t="shared" si="26"/>
        <v/>
      </c>
    </row>
    <row r="560" spans="1:7" x14ac:dyDescent="0.3">
      <c r="A560">
        <f>IF('Output Report'!$H$71+2&gt;ROW(A559),ROW(A559),0)</f>
        <v>0</v>
      </c>
      <c r="B560" t="str">
        <f>IF(AND(A560&gt;0,A560&lt;='Output Report'!$H$71+1),B559+MC_hist!$M$11/'Output Report'!$H$71,"")</f>
        <v/>
      </c>
      <c r="C560" t="str">
        <f t="shared" si="27"/>
        <v/>
      </c>
      <c r="D560" s="45" t="str">
        <f>IF(A561&gt;0,C560/'Output Report'!$H$70,"")</f>
        <v/>
      </c>
      <c r="E560" s="46" t="str">
        <f>IF(A561&gt;0,SUM($D$2:D560),"")</f>
        <v/>
      </c>
      <c r="F560" t="str">
        <f t="shared" si="28"/>
        <v/>
      </c>
      <c r="G560" t="str">
        <f t="shared" si="26"/>
        <v/>
      </c>
    </row>
    <row r="561" spans="1:7" x14ac:dyDescent="0.3">
      <c r="A561">
        <f>IF('Output Report'!$H$71+2&gt;ROW(A560),ROW(A560),0)</f>
        <v>0</v>
      </c>
      <c r="B561" t="str">
        <f>IF(AND(A561&gt;0,A561&lt;='Output Report'!$H$71+1),B560+MC_hist!$M$11/'Output Report'!$H$71,"")</f>
        <v/>
      </c>
      <c r="C561" t="str">
        <f t="shared" si="27"/>
        <v/>
      </c>
      <c r="D561" s="45" t="str">
        <f>IF(A562&gt;0,C561/'Output Report'!$H$70,"")</f>
        <v/>
      </c>
      <c r="E561" s="46" t="str">
        <f>IF(A562&gt;0,SUM($D$2:D561),"")</f>
        <v/>
      </c>
      <c r="F561" t="str">
        <f t="shared" si="28"/>
        <v/>
      </c>
      <c r="G561" t="str">
        <f t="shared" si="26"/>
        <v/>
      </c>
    </row>
    <row r="562" spans="1:7" x14ac:dyDescent="0.3">
      <c r="A562">
        <f>IF('Output Report'!$H$71+2&gt;ROW(A561),ROW(A561),0)</f>
        <v>0</v>
      </c>
      <c r="B562" t="str">
        <f>IF(AND(A562&gt;0,A562&lt;='Output Report'!$H$71+1),B561+MC_hist!$M$11/'Output Report'!$H$71,"")</f>
        <v/>
      </c>
      <c r="C562" t="str">
        <f t="shared" si="27"/>
        <v/>
      </c>
      <c r="D562" s="45" t="str">
        <f>IF(A563&gt;0,C562/'Output Report'!$H$70,"")</f>
        <v/>
      </c>
      <c r="E562" s="46" t="str">
        <f>IF(A563&gt;0,SUM($D$2:D562),"")</f>
        <v/>
      </c>
      <c r="F562" t="str">
        <f t="shared" si="28"/>
        <v/>
      </c>
      <c r="G562" t="str">
        <f t="shared" si="26"/>
        <v/>
      </c>
    </row>
    <row r="563" spans="1:7" x14ac:dyDescent="0.3">
      <c r="A563">
        <f>IF('Output Report'!$H$71+2&gt;ROW(A562),ROW(A562),0)</f>
        <v>0</v>
      </c>
      <c r="B563" t="str">
        <f>IF(AND(A563&gt;0,A563&lt;='Output Report'!$H$71+1),B562+MC_hist!$M$11/'Output Report'!$H$71,"")</f>
        <v/>
      </c>
      <c r="C563" t="str">
        <f t="shared" si="27"/>
        <v/>
      </c>
      <c r="D563" s="45" t="str">
        <f>IF(A564&gt;0,C563/'Output Report'!$H$70,"")</f>
        <v/>
      </c>
      <c r="E563" s="46" t="str">
        <f>IF(A564&gt;0,SUM($D$2:D563),"")</f>
        <v/>
      </c>
      <c r="F563" t="str">
        <f t="shared" si="28"/>
        <v/>
      </c>
      <c r="G563" t="str">
        <f t="shared" si="26"/>
        <v/>
      </c>
    </row>
    <row r="564" spans="1:7" x14ac:dyDescent="0.3">
      <c r="A564">
        <f>IF('Output Report'!$H$71+2&gt;ROW(A563),ROW(A563),0)</f>
        <v>0</v>
      </c>
      <c r="B564" t="str">
        <f>IF(AND(A564&gt;0,A564&lt;='Output Report'!$H$71+1),B563+MC_hist!$M$11/'Output Report'!$H$71,"")</f>
        <v/>
      </c>
      <c r="C564" t="str">
        <f t="shared" si="27"/>
        <v/>
      </c>
      <c r="D564" s="45" t="str">
        <f>IF(A565&gt;0,C564/'Output Report'!$H$70,"")</f>
        <v/>
      </c>
      <c r="E564" s="46" t="str">
        <f>IF(A565&gt;0,SUM($D$2:D564),"")</f>
        <v/>
      </c>
      <c r="F564" t="str">
        <f t="shared" si="28"/>
        <v/>
      </c>
      <c r="G564" t="str">
        <f t="shared" si="26"/>
        <v/>
      </c>
    </row>
    <row r="565" spans="1:7" x14ac:dyDescent="0.3">
      <c r="A565">
        <f>IF('Output Report'!$H$71+2&gt;ROW(A564),ROW(A564),0)</f>
        <v>0</v>
      </c>
      <c r="B565" t="str">
        <f>IF(AND(A565&gt;0,A565&lt;='Output Report'!$H$71+1),B564+MC_hist!$M$11/'Output Report'!$H$71,"")</f>
        <v/>
      </c>
      <c r="C565" t="str">
        <f t="shared" si="27"/>
        <v/>
      </c>
      <c r="D565" s="45" t="str">
        <f>IF(A566&gt;0,C565/'Output Report'!$H$70,"")</f>
        <v/>
      </c>
      <c r="E565" s="46" t="str">
        <f>IF(A566&gt;0,SUM($D$2:D565),"")</f>
        <v/>
      </c>
      <c r="F565" t="str">
        <f t="shared" si="28"/>
        <v/>
      </c>
      <c r="G565" t="str">
        <f t="shared" si="26"/>
        <v/>
      </c>
    </row>
    <row r="566" spans="1:7" x14ac:dyDescent="0.3">
      <c r="A566">
        <f>IF('Output Report'!$H$71+2&gt;ROW(A565),ROW(A565),0)</f>
        <v>0</v>
      </c>
      <c r="B566" t="str">
        <f>IF(AND(A566&gt;0,A566&lt;='Output Report'!$H$71+1),B565+MC_hist!$M$11/'Output Report'!$H$71,"")</f>
        <v/>
      </c>
      <c r="C566" t="str">
        <f t="shared" si="27"/>
        <v/>
      </c>
      <c r="D566" s="45" t="str">
        <f>IF(A567&gt;0,C566/'Output Report'!$H$70,"")</f>
        <v/>
      </c>
      <c r="E566" s="46" t="str">
        <f>IF(A567&gt;0,SUM($D$2:D566),"")</f>
        <v/>
      </c>
      <c r="F566" t="str">
        <f t="shared" si="28"/>
        <v/>
      </c>
      <c r="G566" t="str">
        <f t="shared" si="26"/>
        <v/>
      </c>
    </row>
    <row r="567" spans="1:7" x14ac:dyDescent="0.3">
      <c r="A567">
        <f>IF('Output Report'!$H$71+2&gt;ROW(A566),ROW(A566),0)</f>
        <v>0</v>
      </c>
      <c r="B567" t="str">
        <f>IF(AND(A567&gt;0,A567&lt;='Output Report'!$H$71+1),B566+MC_hist!$M$11/'Output Report'!$H$71,"")</f>
        <v/>
      </c>
      <c r="C567" t="str">
        <f t="shared" si="27"/>
        <v/>
      </c>
      <c r="D567" s="45" t="str">
        <f>IF(A568&gt;0,C567/'Output Report'!$H$70,"")</f>
        <v/>
      </c>
      <c r="E567" s="46" t="str">
        <f>IF(A568&gt;0,SUM($D$2:D567),"")</f>
        <v/>
      </c>
      <c r="F567" t="str">
        <f t="shared" si="28"/>
        <v/>
      </c>
      <c r="G567" t="str">
        <f t="shared" si="26"/>
        <v/>
      </c>
    </row>
    <row r="568" spans="1:7" x14ac:dyDescent="0.3">
      <c r="A568">
        <f>IF('Output Report'!$H$71+2&gt;ROW(A567),ROW(A567),0)</f>
        <v>0</v>
      </c>
      <c r="B568" t="str">
        <f>IF(AND(A568&gt;0,A568&lt;='Output Report'!$H$71+1),B567+MC_hist!$M$11/'Output Report'!$H$71,"")</f>
        <v/>
      </c>
      <c r="C568" t="str">
        <f t="shared" si="27"/>
        <v/>
      </c>
      <c r="D568" s="45" t="str">
        <f>IF(A569&gt;0,C568/'Output Report'!$H$70,"")</f>
        <v/>
      </c>
      <c r="E568" s="46" t="str">
        <f>IF(A569&gt;0,SUM($D$2:D568),"")</f>
        <v/>
      </c>
      <c r="F568" t="str">
        <f t="shared" si="28"/>
        <v/>
      </c>
      <c r="G568" t="str">
        <f t="shared" si="26"/>
        <v/>
      </c>
    </row>
    <row r="569" spans="1:7" x14ac:dyDescent="0.3">
      <c r="A569">
        <f>IF('Output Report'!$H$71+2&gt;ROW(A568),ROW(A568),0)</f>
        <v>0</v>
      </c>
      <c r="B569" t="str">
        <f>IF(AND(A569&gt;0,A569&lt;='Output Report'!$H$71+1),B568+MC_hist!$M$11/'Output Report'!$H$71,"")</f>
        <v/>
      </c>
      <c r="C569" t="str">
        <f t="shared" si="27"/>
        <v/>
      </c>
      <c r="D569" s="45" t="str">
        <f>IF(A570&gt;0,C569/'Output Report'!$H$70,"")</f>
        <v/>
      </c>
      <c r="E569" s="46" t="str">
        <f>IF(A570&gt;0,SUM($D$2:D569),"")</f>
        <v/>
      </c>
      <c r="F569" t="str">
        <f t="shared" si="28"/>
        <v/>
      </c>
      <c r="G569" t="str">
        <f t="shared" si="26"/>
        <v/>
      </c>
    </row>
    <row r="570" spans="1:7" x14ac:dyDescent="0.3">
      <c r="A570">
        <f>IF('Output Report'!$H$71+2&gt;ROW(A569),ROW(A569),0)</f>
        <v>0</v>
      </c>
      <c r="B570" t="str">
        <f>IF(AND(A570&gt;0,A570&lt;='Output Report'!$H$71+1),B569+MC_hist!$M$11/'Output Report'!$H$71,"")</f>
        <v/>
      </c>
      <c r="C570" t="str">
        <f t="shared" si="27"/>
        <v/>
      </c>
      <c r="D570" s="45" t="str">
        <f>IF(A571&gt;0,C570/'Output Report'!$H$70,"")</f>
        <v/>
      </c>
      <c r="E570" s="46" t="str">
        <f>IF(A571&gt;0,SUM($D$2:D570),"")</f>
        <v/>
      </c>
      <c r="F570" t="str">
        <f t="shared" si="28"/>
        <v/>
      </c>
      <c r="G570" t="str">
        <f t="shared" si="26"/>
        <v/>
      </c>
    </row>
    <row r="571" spans="1:7" x14ac:dyDescent="0.3">
      <c r="A571">
        <f>IF('Output Report'!$H$71+2&gt;ROW(A570),ROW(A570),0)</f>
        <v>0</v>
      </c>
      <c r="B571" t="str">
        <f>IF(AND(A571&gt;0,A571&lt;='Output Report'!$H$71+1),B570+MC_hist!$M$11/'Output Report'!$H$71,"")</f>
        <v/>
      </c>
      <c r="C571" t="str">
        <f t="shared" si="27"/>
        <v/>
      </c>
      <c r="D571" s="45" t="str">
        <f>IF(A572&gt;0,C571/'Output Report'!$H$70,"")</f>
        <v/>
      </c>
      <c r="E571" s="46" t="str">
        <f>IF(A572&gt;0,SUM($D$2:D571),"")</f>
        <v/>
      </c>
      <c r="F571" t="str">
        <f t="shared" si="28"/>
        <v/>
      </c>
      <c r="G571" t="str">
        <f t="shared" si="26"/>
        <v/>
      </c>
    </row>
    <row r="572" spans="1:7" x14ac:dyDescent="0.3">
      <c r="A572">
        <f>IF('Output Report'!$H$71+2&gt;ROW(A571),ROW(A571),0)</f>
        <v>0</v>
      </c>
      <c r="B572" t="str">
        <f>IF(AND(A572&gt;0,A572&lt;='Output Report'!$H$71+1),B571+MC_hist!$M$11/'Output Report'!$H$71,"")</f>
        <v/>
      </c>
      <c r="C572" t="str">
        <f t="shared" si="27"/>
        <v/>
      </c>
      <c r="D572" s="45" t="str">
        <f>IF(A573&gt;0,C572/'Output Report'!$H$70,"")</f>
        <v/>
      </c>
      <c r="E572" s="46" t="str">
        <f>IF(A573&gt;0,SUM($D$2:D572),"")</f>
        <v/>
      </c>
      <c r="F572" t="str">
        <f t="shared" si="28"/>
        <v/>
      </c>
      <c r="G572" t="str">
        <f t="shared" si="26"/>
        <v/>
      </c>
    </row>
    <row r="573" spans="1:7" x14ac:dyDescent="0.3">
      <c r="A573">
        <f>IF('Output Report'!$H$71+2&gt;ROW(A572),ROW(A572),0)</f>
        <v>0</v>
      </c>
      <c r="B573" t="str">
        <f>IF(AND(A573&gt;0,A573&lt;='Output Report'!$H$71+1),B572+MC_hist!$M$11/'Output Report'!$H$71,"")</f>
        <v/>
      </c>
      <c r="C573" t="str">
        <f t="shared" si="27"/>
        <v/>
      </c>
      <c r="D573" s="45" t="str">
        <f>IF(A574&gt;0,C573/'Output Report'!$H$70,"")</f>
        <v/>
      </c>
      <c r="E573" s="46" t="str">
        <f>IF(A574&gt;0,SUM($D$2:D573),"")</f>
        <v/>
      </c>
      <c r="F573" t="str">
        <f t="shared" si="28"/>
        <v/>
      </c>
      <c r="G573" t="str">
        <f t="shared" si="26"/>
        <v/>
      </c>
    </row>
    <row r="574" spans="1:7" x14ac:dyDescent="0.3">
      <c r="A574">
        <f>IF('Output Report'!$H$71+2&gt;ROW(A573),ROW(A573),0)</f>
        <v>0</v>
      </c>
      <c r="B574" t="str">
        <f>IF(AND(A574&gt;0,A574&lt;='Output Report'!$H$71+1),B573+MC_hist!$M$11/'Output Report'!$H$71,"")</f>
        <v/>
      </c>
      <c r="C574" t="str">
        <f t="shared" si="27"/>
        <v/>
      </c>
      <c r="D574" s="45" t="str">
        <f>IF(A575&gt;0,C574/'Output Report'!$H$70,"")</f>
        <v/>
      </c>
      <c r="E574" s="46" t="str">
        <f>IF(A575&gt;0,SUM($D$2:D574),"")</f>
        <v/>
      </c>
      <c r="F574" t="str">
        <f t="shared" si="28"/>
        <v/>
      </c>
      <c r="G574" t="str">
        <f t="shared" si="26"/>
        <v/>
      </c>
    </row>
    <row r="575" spans="1:7" x14ac:dyDescent="0.3">
      <c r="A575">
        <f>IF('Output Report'!$H$71+2&gt;ROW(A574),ROW(A574),0)</f>
        <v>0</v>
      </c>
      <c r="B575" t="str">
        <f>IF(AND(A575&gt;0,A575&lt;='Output Report'!$H$71+1),B574+MC_hist!$M$11/'Output Report'!$H$71,"")</f>
        <v/>
      </c>
      <c r="C575" t="str">
        <f t="shared" si="27"/>
        <v/>
      </c>
      <c r="D575" s="45" t="str">
        <f>IF(A576&gt;0,C575/'Output Report'!$H$70,"")</f>
        <v/>
      </c>
      <c r="E575" s="46" t="str">
        <f>IF(A576&gt;0,SUM($D$2:D575),"")</f>
        <v/>
      </c>
      <c r="F575" t="str">
        <f t="shared" si="28"/>
        <v/>
      </c>
      <c r="G575" t="str">
        <f t="shared" si="26"/>
        <v/>
      </c>
    </row>
    <row r="576" spans="1:7" x14ac:dyDescent="0.3">
      <c r="A576">
        <f>IF('Output Report'!$H$71+2&gt;ROW(A575),ROW(A575),0)</f>
        <v>0</v>
      </c>
      <c r="B576" t="str">
        <f>IF(AND(A576&gt;0,A576&lt;='Output Report'!$H$71+1),B575+MC_hist!$M$11/'Output Report'!$H$71,"")</f>
        <v/>
      </c>
      <c r="C576" t="str">
        <f t="shared" si="27"/>
        <v/>
      </c>
      <c r="D576" s="45" t="str">
        <f>IF(A577&gt;0,C576/'Output Report'!$H$70,"")</f>
        <v/>
      </c>
      <c r="E576" s="46" t="str">
        <f>IF(A577&gt;0,SUM($D$2:D576),"")</f>
        <v/>
      </c>
      <c r="F576" t="str">
        <f t="shared" si="28"/>
        <v/>
      </c>
      <c r="G576" t="str">
        <f t="shared" si="26"/>
        <v/>
      </c>
    </row>
    <row r="577" spans="1:7" x14ac:dyDescent="0.3">
      <c r="A577">
        <f>IF('Output Report'!$H$71+2&gt;ROW(A576),ROW(A576),0)</f>
        <v>0</v>
      </c>
      <c r="B577" t="str">
        <f>IF(AND(A577&gt;0,A577&lt;='Output Report'!$H$71+1),B576+MC_hist!$M$11/'Output Report'!$H$71,"")</f>
        <v/>
      </c>
      <c r="C577" t="str">
        <f t="shared" si="27"/>
        <v/>
      </c>
      <c r="D577" s="45" t="str">
        <f>IF(A578&gt;0,C577/'Output Report'!$H$70,"")</f>
        <v/>
      </c>
      <c r="E577" s="46" t="str">
        <f>IF(A578&gt;0,SUM($D$2:D577),"")</f>
        <v/>
      </c>
      <c r="F577" t="str">
        <f t="shared" si="28"/>
        <v/>
      </c>
      <c r="G577" t="str">
        <f t="shared" si="26"/>
        <v/>
      </c>
    </row>
    <row r="578" spans="1:7" x14ac:dyDescent="0.3">
      <c r="A578">
        <f>IF('Output Report'!$H$71+2&gt;ROW(A577),ROW(A577),0)</f>
        <v>0</v>
      </c>
      <c r="B578" t="str">
        <f>IF(AND(A578&gt;0,A578&lt;='Output Report'!$H$71+1),B577+MC_hist!$M$11/'Output Report'!$H$71,"")</f>
        <v/>
      </c>
      <c r="C578" t="str">
        <f t="shared" si="27"/>
        <v/>
      </c>
      <c r="D578" s="45" t="str">
        <f>IF(A579&gt;0,C578/'Output Report'!$H$70,"")</f>
        <v/>
      </c>
      <c r="E578" s="46" t="str">
        <f>IF(A579&gt;0,SUM($D$2:D578),"")</f>
        <v/>
      </c>
      <c r="F578" t="str">
        <f t="shared" si="28"/>
        <v/>
      </c>
      <c r="G578" t="str">
        <f t="shared" si="26"/>
        <v/>
      </c>
    </row>
    <row r="579" spans="1:7" x14ac:dyDescent="0.3">
      <c r="A579">
        <f>IF('Output Report'!$H$71+2&gt;ROW(A578),ROW(A578),0)</f>
        <v>0</v>
      </c>
      <c r="B579" t="str">
        <f>IF(AND(A579&gt;0,A579&lt;='Output Report'!$H$71+1),B578+MC_hist!$M$11/'Output Report'!$H$71,"")</f>
        <v/>
      </c>
      <c r="C579" t="str">
        <f t="shared" si="27"/>
        <v/>
      </c>
      <c r="D579" s="45" t="str">
        <f>IF(A580&gt;0,C579/'Output Report'!$H$70,"")</f>
        <v/>
      </c>
      <c r="E579" s="46" t="str">
        <f>IF(A580&gt;0,SUM($D$2:D579),"")</f>
        <v/>
      </c>
      <c r="F579" t="str">
        <f t="shared" si="28"/>
        <v/>
      </c>
      <c r="G579" t="str">
        <f t="shared" ref="G579:G642" si="29">IF(B579&lt;=0,E579,"")</f>
        <v/>
      </c>
    </row>
    <row r="580" spans="1:7" x14ac:dyDescent="0.3">
      <c r="A580">
        <f>IF('Output Report'!$H$71+2&gt;ROW(A579),ROW(A579),0)</f>
        <v>0</v>
      </c>
      <c r="B580" t="str">
        <f>IF(AND(A580&gt;0,A580&lt;='Output Report'!$H$71+1),B579+MC_hist!$M$11/'Output Report'!$H$71,"")</f>
        <v/>
      </c>
      <c r="C580" t="str">
        <f t="shared" si="27"/>
        <v/>
      </c>
      <c r="D580" s="45" t="str">
        <f>IF(A581&gt;0,C580/'Output Report'!$H$70,"")</f>
        <v/>
      </c>
      <c r="E580" s="46" t="str">
        <f>IF(A581&gt;0,SUM($D$2:D580),"")</f>
        <v/>
      </c>
      <c r="F580" t="str">
        <f t="shared" si="28"/>
        <v/>
      </c>
      <c r="G580" t="str">
        <f t="shared" si="29"/>
        <v/>
      </c>
    </row>
    <row r="581" spans="1:7" x14ac:dyDescent="0.3">
      <c r="A581">
        <f>IF('Output Report'!$H$71+2&gt;ROW(A580),ROW(A580),0)</f>
        <v>0</v>
      </c>
      <c r="B581" t="str">
        <f>IF(AND(A581&gt;0,A581&lt;='Output Report'!$H$71+1),B580+MC_hist!$M$11/'Output Report'!$H$71,"")</f>
        <v/>
      </c>
      <c r="C581" t="str">
        <f t="shared" si="27"/>
        <v/>
      </c>
      <c r="D581" s="45" t="str">
        <f>IF(A582&gt;0,C581/'Output Report'!$H$70,"")</f>
        <v/>
      </c>
      <c r="E581" s="46" t="str">
        <f>IF(A582&gt;0,SUM($D$2:D581),"")</f>
        <v/>
      </c>
      <c r="F581" t="str">
        <f t="shared" si="28"/>
        <v/>
      </c>
      <c r="G581" t="str">
        <f t="shared" si="29"/>
        <v/>
      </c>
    </row>
    <row r="582" spans="1:7" x14ac:dyDescent="0.3">
      <c r="A582">
        <f>IF('Output Report'!$H$71+2&gt;ROW(A581),ROW(A581),0)</f>
        <v>0</v>
      </c>
      <c r="B582" t="str">
        <f>IF(AND(A582&gt;0,A582&lt;='Output Report'!$H$71+1),B581+MC_hist!$M$11/'Output Report'!$H$71,"")</f>
        <v/>
      </c>
      <c r="C582" t="str">
        <f t="shared" si="27"/>
        <v/>
      </c>
      <c r="D582" s="45" t="str">
        <f>IF(A583&gt;0,C582/'Output Report'!$H$70,"")</f>
        <v/>
      </c>
      <c r="E582" s="46" t="str">
        <f>IF(A583&gt;0,SUM($D$2:D582),"")</f>
        <v/>
      </c>
      <c r="F582" t="str">
        <f t="shared" si="28"/>
        <v/>
      </c>
      <c r="G582" t="str">
        <f t="shared" si="29"/>
        <v/>
      </c>
    </row>
    <row r="583" spans="1:7" x14ac:dyDescent="0.3">
      <c r="A583">
        <f>IF('Output Report'!$H$71+2&gt;ROW(A582),ROW(A582),0)</f>
        <v>0</v>
      </c>
      <c r="B583" t="str">
        <f>IF(AND(A583&gt;0,A583&lt;='Output Report'!$H$71+1),B582+MC_hist!$M$11/'Output Report'!$H$71,"")</f>
        <v/>
      </c>
      <c r="C583" t="str">
        <f t="shared" si="27"/>
        <v/>
      </c>
      <c r="D583" s="45" t="str">
        <f>IF(A584&gt;0,C583/'Output Report'!$H$70,"")</f>
        <v/>
      </c>
      <c r="E583" s="46" t="str">
        <f>IF(A584&gt;0,SUM($D$2:D583),"")</f>
        <v/>
      </c>
      <c r="F583" t="str">
        <f t="shared" si="28"/>
        <v/>
      </c>
      <c r="G583" t="str">
        <f t="shared" si="29"/>
        <v/>
      </c>
    </row>
    <row r="584" spans="1:7" x14ac:dyDescent="0.3">
      <c r="A584">
        <f>IF('Output Report'!$H$71+2&gt;ROW(A583),ROW(A583),0)</f>
        <v>0</v>
      </c>
      <c r="B584" t="str">
        <f>IF(AND(A584&gt;0,A584&lt;='Output Report'!$H$71+1),B583+MC_hist!$M$11/'Output Report'!$H$71,"")</f>
        <v/>
      </c>
      <c r="C584" t="str">
        <f t="shared" si="27"/>
        <v/>
      </c>
      <c r="D584" s="45" t="str">
        <f>IF(A585&gt;0,C584/'Output Report'!$H$70,"")</f>
        <v/>
      </c>
      <c r="E584" s="46" t="str">
        <f>IF(A585&gt;0,SUM($D$2:D584),"")</f>
        <v/>
      </c>
      <c r="F584" t="str">
        <f t="shared" si="28"/>
        <v/>
      </c>
      <c r="G584" t="str">
        <f t="shared" si="29"/>
        <v/>
      </c>
    </row>
    <row r="585" spans="1:7" x14ac:dyDescent="0.3">
      <c r="A585">
        <f>IF('Output Report'!$H$71+2&gt;ROW(A584),ROW(A584),0)</f>
        <v>0</v>
      </c>
      <c r="B585" t="str">
        <f>IF(AND(A585&gt;0,A585&lt;='Output Report'!$H$71+1),B584+MC_hist!$M$11/'Output Report'!$H$71,"")</f>
        <v/>
      </c>
      <c r="C585" t="str">
        <f t="shared" si="27"/>
        <v/>
      </c>
      <c r="D585" s="45" t="str">
        <f>IF(A586&gt;0,C585/'Output Report'!$H$70,"")</f>
        <v/>
      </c>
      <c r="E585" s="46" t="str">
        <f>IF(A586&gt;0,SUM($D$2:D585),"")</f>
        <v/>
      </c>
      <c r="F585" t="str">
        <f t="shared" si="28"/>
        <v/>
      </c>
      <c r="G585" t="str">
        <f t="shared" si="29"/>
        <v/>
      </c>
    </row>
    <row r="586" spans="1:7" x14ac:dyDescent="0.3">
      <c r="A586">
        <f>IF('Output Report'!$H$71+2&gt;ROW(A585),ROW(A585),0)</f>
        <v>0</v>
      </c>
      <c r="B586" t="str">
        <f>IF(AND(A586&gt;0,A586&lt;='Output Report'!$H$71+1),B585+MC_hist!$M$11/'Output Report'!$H$71,"")</f>
        <v/>
      </c>
      <c r="C586" t="str">
        <f t="shared" si="27"/>
        <v/>
      </c>
      <c r="D586" s="45" t="str">
        <f>IF(A587&gt;0,C586/'Output Report'!$H$70,"")</f>
        <v/>
      </c>
      <c r="E586" s="46" t="str">
        <f>IF(A587&gt;0,SUM($D$2:D586),"")</f>
        <v/>
      </c>
      <c r="F586" t="str">
        <f t="shared" si="28"/>
        <v/>
      </c>
      <c r="G586" t="str">
        <f t="shared" si="29"/>
        <v/>
      </c>
    </row>
    <row r="587" spans="1:7" x14ac:dyDescent="0.3">
      <c r="A587">
        <f>IF('Output Report'!$H$71+2&gt;ROW(A586),ROW(A586),0)</f>
        <v>0</v>
      </c>
      <c r="B587" t="str">
        <f>IF(AND(A587&gt;0,A587&lt;='Output Report'!$H$71+1),B586+MC_hist!$M$11/'Output Report'!$H$71,"")</f>
        <v/>
      </c>
      <c r="C587" t="str">
        <f t="shared" si="27"/>
        <v/>
      </c>
      <c r="D587" s="45" t="str">
        <f>IF(A588&gt;0,C587/'Output Report'!$H$70,"")</f>
        <v/>
      </c>
      <c r="E587" s="46" t="str">
        <f>IF(A588&gt;0,SUM($D$2:D587),"")</f>
        <v/>
      </c>
      <c r="F587" t="str">
        <f t="shared" si="28"/>
        <v/>
      </c>
      <c r="G587" t="str">
        <f t="shared" si="29"/>
        <v/>
      </c>
    </row>
    <row r="588" spans="1:7" x14ac:dyDescent="0.3">
      <c r="A588">
        <f>IF('Output Report'!$H$71+2&gt;ROW(A587),ROW(A587),0)</f>
        <v>0</v>
      </c>
      <c r="B588" t="str">
        <f>IF(AND(A588&gt;0,A588&lt;='Output Report'!$H$71+1),B587+MC_hist!$M$11/'Output Report'!$H$71,"")</f>
        <v/>
      </c>
      <c r="C588" t="str">
        <f t="shared" si="27"/>
        <v/>
      </c>
      <c r="D588" s="45" t="str">
        <f>IF(A589&gt;0,C588/'Output Report'!$H$70,"")</f>
        <v/>
      </c>
      <c r="E588" s="46" t="str">
        <f>IF(A589&gt;0,SUM($D$2:D588),"")</f>
        <v/>
      </c>
      <c r="F588" t="str">
        <f t="shared" si="28"/>
        <v/>
      </c>
      <c r="G588" t="str">
        <f t="shared" si="29"/>
        <v/>
      </c>
    </row>
    <row r="589" spans="1:7" x14ac:dyDescent="0.3">
      <c r="A589">
        <f>IF('Output Report'!$H$71+2&gt;ROW(A588),ROW(A588),0)</f>
        <v>0</v>
      </c>
      <c r="B589" t="str">
        <f>IF(AND(A589&gt;0,A589&lt;='Output Report'!$H$71+1),B588+MC_hist!$M$11/'Output Report'!$H$71,"")</f>
        <v/>
      </c>
      <c r="C589" t="str">
        <f t="shared" si="27"/>
        <v/>
      </c>
      <c r="D589" s="45" t="str">
        <f>IF(A590&gt;0,C589/'Output Report'!$H$70,"")</f>
        <v/>
      </c>
      <c r="E589" s="46" t="str">
        <f>IF(A590&gt;0,SUM($D$2:D589),"")</f>
        <v/>
      </c>
      <c r="F589" t="str">
        <f t="shared" si="28"/>
        <v/>
      </c>
      <c r="G589" t="str">
        <f t="shared" si="29"/>
        <v/>
      </c>
    </row>
    <row r="590" spans="1:7" x14ac:dyDescent="0.3">
      <c r="A590">
        <f>IF('Output Report'!$H$71+2&gt;ROW(A589),ROW(A589),0)</f>
        <v>0</v>
      </c>
      <c r="B590" t="str">
        <f>IF(AND(A590&gt;0,A590&lt;='Output Report'!$H$71+1),B589+MC_hist!$M$11/'Output Report'!$H$71,"")</f>
        <v/>
      </c>
      <c r="C590" t="str">
        <f t="shared" si="27"/>
        <v/>
      </c>
      <c r="D590" s="45" t="str">
        <f>IF(A591&gt;0,C590/'Output Report'!$H$70,"")</f>
        <v/>
      </c>
      <c r="E590" s="46" t="str">
        <f>IF(A591&gt;0,SUM($D$2:D590),"")</f>
        <v/>
      </c>
      <c r="F590" t="str">
        <f t="shared" si="28"/>
        <v/>
      </c>
      <c r="G590" t="str">
        <f t="shared" si="29"/>
        <v/>
      </c>
    </row>
    <row r="591" spans="1:7" x14ac:dyDescent="0.3">
      <c r="A591">
        <f>IF('Output Report'!$H$71+2&gt;ROW(A590),ROW(A590),0)</f>
        <v>0</v>
      </c>
      <c r="B591" t="str">
        <f>IF(AND(A591&gt;0,A591&lt;='Output Report'!$H$71+1),B590+MC_hist!$M$11/'Output Report'!$H$71,"")</f>
        <v/>
      </c>
      <c r="C591" t="str">
        <f t="shared" si="27"/>
        <v/>
      </c>
      <c r="D591" s="45" t="str">
        <f>IF(A592&gt;0,C591/'Output Report'!$H$70,"")</f>
        <v/>
      </c>
      <c r="E591" s="46" t="str">
        <f>IF(A592&gt;0,SUM($D$2:D591),"")</f>
        <v/>
      </c>
      <c r="F591" t="str">
        <f t="shared" si="28"/>
        <v/>
      </c>
      <c r="G591" t="str">
        <f t="shared" si="29"/>
        <v/>
      </c>
    </row>
    <row r="592" spans="1:7" x14ac:dyDescent="0.3">
      <c r="A592">
        <f>IF('Output Report'!$H$71+2&gt;ROW(A591),ROW(A591),0)</f>
        <v>0</v>
      </c>
      <c r="B592" t="str">
        <f>IF(AND(A592&gt;0,A592&lt;='Output Report'!$H$71+1),B591+MC_hist!$M$11/'Output Report'!$H$71,"")</f>
        <v/>
      </c>
      <c r="C592" t="str">
        <f t="shared" si="27"/>
        <v/>
      </c>
      <c r="D592" s="45" t="str">
        <f>IF(A593&gt;0,C592/'Output Report'!$H$70,"")</f>
        <v/>
      </c>
      <c r="E592" s="46" t="str">
        <f>IF(A593&gt;0,SUM($D$2:D592),"")</f>
        <v/>
      </c>
      <c r="F592" t="str">
        <f t="shared" si="28"/>
        <v/>
      </c>
      <c r="G592" t="str">
        <f t="shared" si="29"/>
        <v/>
      </c>
    </row>
    <row r="593" spans="1:7" x14ac:dyDescent="0.3">
      <c r="A593">
        <f>IF('Output Report'!$H$71+2&gt;ROW(A592),ROW(A592),0)</f>
        <v>0</v>
      </c>
      <c r="B593" t="str">
        <f>IF(AND(A593&gt;0,A593&lt;='Output Report'!$H$71+1),B592+MC_hist!$M$11/'Output Report'!$H$71,"")</f>
        <v/>
      </c>
      <c r="C593" t="str">
        <f t="shared" si="27"/>
        <v/>
      </c>
      <c r="D593" s="45" t="str">
        <f>IF(A594&gt;0,C593/'Output Report'!$H$70,"")</f>
        <v/>
      </c>
      <c r="E593" s="46" t="str">
        <f>IF(A594&gt;0,SUM($D$2:D593),"")</f>
        <v/>
      </c>
      <c r="F593" t="str">
        <f t="shared" si="28"/>
        <v/>
      </c>
      <c r="G593" t="str">
        <f t="shared" si="29"/>
        <v/>
      </c>
    </row>
    <row r="594" spans="1:7" x14ac:dyDescent="0.3">
      <c r="A594">
        <f>IF('Output Report'!$H$71+2&gt;ROW(A593),ROW(A593),0)</f>
        <v>0</v>
      </c>
      <c r="B594" t="str">
        <f>IF(AND(A594&gt;0,A594&lt;='Output Report'!$H$71+1),B593+MC_hist!$M$11/'Output Report'!$H$71,"")</f>
        <v/>
      </c>
      <c r="C594" t="str">
        <f t="shared" si="27"/>
        <v/>
      </c>
      <c r="D594" s="45" t="str">
        <f>IF(A595&gt;0,C594/'Output Report'!$H$70,"")</f>
        <v/>
      </c>
      <c r="E594" s="46" t="str">
        <f>IF(A595&gt;0,SUM($D$2:D594),"")</f>
        <v/>
      </c>
      <c r="F594" t="str">
        <f t="shared" si="28"/>
        <v/>
      </c>
      <c r="G594" t="str">
        <f t="shared" si="29"/>
        <v/>
      </c>
    </row>
    <row r="595" spans="1:7" x14ac:dyDescent="0.3">
      <c r="A595">
        <f>IF('Output Report'!$H$71+2&gt;ROW(A594),ROW(A594),0)</f>
        <v>0</v>
      </c>
      <c r="B595" t="str">
        <f>IF(AND(A595&gt;0,A595&lt;='Output Report'!$H$71+1),B594+MC_hist!$M$11/'Output Report'!$H$71,"")</f>
        <v/>
      </c>
      <c r="C595" t="str">
        <f t="shared" si="27"/>
        <v/>
      </c>
      <c r="D595" s="45" t="str">
        <f>IF(A596&gt;0,C595/'Output Report'!$H$70,"")</f>
        <v/>
      </c>
      <c r="E595" s="46" t="str">
        <f>IF(A596&gt;0,SUM($D$2:D595),"")</f>
        <v/>
      </c>
      <c r="F595" t="str">
        <f t="shared" si="28"/>
        <v/>
      </c>
      <c r="G595" t="str">
        <f t="shared" si="29"/>
        <v/>
      </c>
    </row>
    <row r="596" spans="1:7" x14ac:dyDescent="0.3">
      <c r="A596">
        <f>IF('Output Report'!$H$71+2&gt;ROW(A595),ROW(A595),0)</f>
        <v>0</v>
      </c>
      <c r="B596" t="str">
        <f>IF(AND(A596&gt;0,A596&lt;='Output Report'!$H$71+1),B595+MC_hist!$M$11/'Output Report'!$H$71,"")</f>
        <v/>
      </c>
      <c r="C596" t="str">
        <f t="shared" si="27"/>
        <v/>
      </c>
      <c r="D596" s="45" t="str">
        <f>IF(A597&gt;0,C596/'Output Report'!$H$70,"")</f>
        <v/>
      </c>
      <c r="E596" s="46" t="str">
        <f>IF(A597&gt;0,SUM($D$2:D596),"")</f>
        <v/>
      </c>
      <c r="F596" t="str">
        <f t="shared" si="28"/>
        <v/>
      </c>
      <c r="G596" t="str">
        <f t="shared" si="29"/>
        <v/>
      </c>
    </row>
    <row r="597" spans="1:7" x14ac:dyDescent="0.3">
      <c r="A597">
        <f>IF('Output Report'!$H$71+2&gt;ROW(A596),ROW(A596),0)</f>
        <v>0</v>
      </c>
      <c r="B597" t="str">
        <f>IF(AND(A597&gt;0,A597&lt;='Output Report'!$H$71+1),B596+MC_hist!$M$11/'Output Report'!$H$71,"")</f>
        <v/>
      </c>
      <c r="C597" t="str">
        <f t="shared" si="27"/>
        <v/>
      </c>
      <c r="D597" s="45" t="str">
        <f>IF(A598&gt;0,C597/'Output Report'!$H$70,"")</f>
        <v/>
      </c>
      <c r="E597" s="46" t="str">
        <f>IF(A598&gt;0,SUM($D$2:D597),"")</f>
        <v/>
      </c>
      <c r="F597" t="str">
        <f t="shared" si="28"/>
        <v/>
      </c>
      <c r="G597" t="str">
        <f t="shared" si="29"/>
        <v/>
      </c>
    </row>
    <row r="598" spans="1:7" x14ac:dyDescent="0.3">
      <c r="A598">
        <f>IF('Output Report'!$H$71+2&gt;ROW(A597),ROW(A597),0)</f>
        <v>0</v>
      </c>
      <c r="B598" t="str">
        <f>IF(AND(A598&gt;0,A598&lt;='Output Report'!$H$71+1),B597+MC_hist!$M$11/'Output Report'!$H$71,"")</f>
        <v/>
      </c>
      <c r="C598" t="str">
        <f t="shared" si="27"/>
        <v/>
      </c>
      <c r="D598" s="45" t="str">
        <f>IF(A599&gt;0,C598/'Output Report'!$H$70,"")</f>
        <v/>
      </c>
      <c r="E598" s="46" t="str">
        <f>IF(A599&gt;0,SUM($D$2:D598),"")</f>
        <v/>
      </c>
      <c r="F598" t="str">
        <f t="shared" si="28"/>
        <v/>
      </c>
      <c r="G598" t="str">
        <f t="shared" si="29"/>
        <v/>
      </c>
    </row>
    <row r="599" spans="1:7" x14ac:dyDescent="0.3">
      <c r="A599">
        <f>IF('Output Report'!$H$71+2&gt;ROW(A598),ROW(A598),0)</f>
        <v>0</v>
      </c>
      <c r="B599" t="str">
        <f>IF(AND(A599&gt;0,A599&lt;='Output Report'!$H$71+1),B598+MC_hist!$M$11/'Output Report'!$H$71,"")</f>
        <v/>
      </c>
      <c r="C599" t="str">
        <f t="shared" si="27"/>
        <v/>
      </c>
      <c r="D599" s="45" t="str">
        <f>IF(A600&gt;0,C599/'Output Report'!$H$70,"")</f>
        <v/>
      </c>
      <c r="E599" s="46" t="str">
        <f>IF(A600&gt;0,SUM($D$2:D599),"")</f>
        <v/>
      </c>
      <c r="F599" t="str">
        <f t="shared" si="28"/>
        <v/>
      </c>
      <c r="G599" t="str">
        <f t="shared" si="29"/>
        <v/>
      </c>
    </row>
    <row r="600" spans="1:7" x14ac:dyDescent="0.3">
      <c r="A600">
        <f>IF('Output Report'!$H$71+2&gt;ROW(A599),ROW(A599),0)</f>
        <v>0</v>
      </c>
      <c r="B600" t="str">
        <f>IF(AND(A600&gt;0,A600&lt;='Output Report'!$H$71+1),B599+MC_hist!$M$11/'Output Report'!$H$71,"")</f>
        <v/>
      </c>
      <c r="C600" t="str">
        <f t="shared" si="27"/>
        <v/>
      </c>
      <c r="D600" s="45" t="str">
        <f>IF(A601&gt;0,C600/'Output Report'!$H$70,"")</f>
        <v/>
      </c>
      <c r="E600" s="46" t="str">
        <f>IF(A601&gt;0,SUM($D$2:D600),"")</f>
        <v/>
      </c>
      <c r="F600" t="str">
        <f t="shared" si="28"/>
        <v/>
      </c>
      <c r="G600" t="str">
        <f t="shared" si="29"/>
        <v/>
      </c>
    </row>
    <row r="601" spans="1:7" x14ac:dyDescent="0.3">
      <c r="A601">
        <f>IF('Output Report'!$H$71+2&gt;ROW(A600),ROW(A600),0)</f>
        <v>0</v>
      </c>
      <c r="B601" t="str">
        <f>IF(AND(A601&gt;0,A601&lt;='Output Report'!$H$71+1),B600+MC_hist!$M$11/'Output Report'!$H$71,"")</f>
        <v/>
      </c>
      <c r="C601" t="str">
        <f t="shared" si="27"/>
        <v/>
      </c>
      <c r="D601" s="45" t="str">
        <f>IF(A602&gt;0,C601/'Output Report'!$H$70,"")</f>
        <v/>
      </c>
      <c r="E601" s="46" t="str">
        <f>IF(A602&gt;0,SUM($D$2:D601),"")</f>
        <v/>
      </c>
      <c r="F601" t="str">
        <f t="shared" si="28"/>
        <v/>
      </c>
      <c r="G601" t="str">
        <f t="shared" si="29"/>
        <v/>
      </c>
    </row>
    <row r="602" spans="1:7" x14ac:dyDescent="0.3">
      <c r="A602">
        <f>IF('Output Report'!$H$71+2&gt;ROW(A601),ROW(A601),0)</f>
        <v>0</v>
      </c>
      <c r="B602" t="str">
        <f>IF(AND(A602&gt;0,A602&lt;='Output Report'!$H$71+1),B601+MC_hist!$M$11/'Output Report'!$H$71,"")</f>
        <v/>
      </c>
      <c r="C602" t="str">
        <f t="shared" si="27"/>
        <v/>
      </c>
      <c r="D602" s="45" t="str">
        <f>IF(A603&gt;0,C602/'Output Report'!$H$70,"")</f>
        <v/>
      </c>
      <c r="E602" s="46" t="str">
        <f>IF(A603&gt;0,SUM($D$2:D602),"")</f>
        <v/>
      </c>
      <c r="F602" t="str">
        <f t="shared" si="28"/>
        <v/>
      </c>
      <c r="G602" t="str">
        <f t="shared" si="29"/>
        <v/>
      </c>
    </row>
    <row r="603" spans="1:7" x14ac:dyDescent="0.3">
      <c r="A603">
        <f>IF('Output Report'!$H$71+2&gt;ROW(A602),ROW(A602),0)</f>
        <v>0</v>
      </c>
      <c r="B603" t="str">
        <f>IF(AND(A603&gt;0,A603&lt;='Output Report'!$H$71+1),B602+MC_hist!$M$11/'Output Report'!$H$71,"")</f>
        <v/>
      </c>
      <c r="C603" t="str">
        <f t="shared" si="27"/>
        <v/>
      </c>
      <c r="D603" s="45" t="str">
        <f>IF(A604&gt;0,C603/'Output Report'!$H$70,"")</f>
        <v/>
      </c>
      <c r="E603" s="46" t="str">
        <f>IF(A604&gt;0,SUM($D$2:D603),"")</f>
        <v/>
      </c>
      <c r="F603" t="str">
        <f t="shared" si="28"/>
        <v/>
      </c>
      <c r="G603" t="str">
        <f t="shared" si="29"/>
        <v/>
      </c>
    </row>
    <row r="604" spans="1:7" x14ac:dyDescent="0.3">
      <c r="A604">
        <f>IF('Output Report'!$H$71+2&gt;ROW(A603),ROW(A603),0)</f>
        <v>0</v>
      </c>
      <c r="B604" t="str">
        <f>IF(AND(A604&gt;0,A604&lt;='Output Report'!$H$71+1),B603+MC_hist!$M$11/'Output Report'!$H$71,"")</f>
        <v/>
      </c>
      <c r="C604" t="str">
        <f t="shared" si="27"/>
        <v/>
      </c>
      <c r="D604" s="45" t="str">
        <f>IF(A605&gt;0,C604/'Output Report'!$H$70,"")</f>
        <v/>
      </c>
      <c r="E604" s="46" t="str">
        <f>IF(A605&gt;0,SUM($D$2:D604),"")</f>
        <v/>
      </c>
      <c r="F604" t="str">
        <f t="shared" si="28"/>
        <v/>
      </c>
      <c r="G604" t="str">
        <f t="shared" si="29"/>
        <v/>
      </c>
    </row>
    <row r="605" spans="1:7" x14ac:dyDescent="0.3">
      <c r="A605">
        <f>IF('Output Report'!$H$71+2&gt;ROW(A604),ROW(A604),0)</f>
        <v>0</v>
      </c>
      <c r="B605" t="str">
        <f>IF(AND(A605&gt;0,A605&lt;='Output Report'!$H$71+1),B604+MC_hist!$M$11/'Output Report'!$H$71,"")</f>
        <v/>
      </c>
      <c r="C605" t="str">
        <f t="shared" si="27"/>
        <v/>
      </c>
      <c r="D605" s="45" t="str">
        <f>IF(A606&gt;0,C605/'Output Report'!$H$70,"")</f>
        <v/>
      </c>
      <c r="E605" s="46" t="str">
        <f>IF(A606&gt;0,SUM($D$2:D605),"")</f>
        <v/>
      </c>
      <c r="F605" t="str">
        <f t="shared" si="28"/>
        <v/>
      </c>
      <c r="G605" t="str">
        <f t="shared" si="29"/>
        <v/>
      </c>
    </row>
    <row r="606" spans="1:7" x14ac:dyDescent="0.3">
      <c r="A606">
        <f>IF('Output Report'!$H$71+2&gt;ROW(A605),ROW(A605),0)</f>
        <v>0</v>
      </c>
      <c r="B606" t="str">
        <f>IF(AND(A606&gt;0,A606&lt;='Output Report'!$H$71+1),B605+MC_hist!$M$11/'Output Report'!$H$71,"")</f>
        <v/>
      </c>
      <c r="C606" t="str">
        <f t="shared" si="27"/>
        <v/>
      </c>
      <c r="D606" s="45" t="str">
        <f>IF(A607&gt;0,C606/'Output Report'!$H$70,"")</f>
        <v/>
      </c>
      <c r="E606" s="46" t="str">
        <f>IF(A607&gt;0,SUM($D$2:D606),"")</f>
        <v/>
      </c>
      <c r="F606" t="str">
        <f t="shared" si="28"/>
        <v/>
      </c>
      <c r="G606" t="str">
        <f t="shared" si="29"/>
        <v/>
      </c>
    </row>
    <row r="607" spans="1:7" x14ac:dyDescent="0.3">
      <c r="A607">
        <f>IF('Output Report'!$H$71+2&gt;ROW(A606),ROW(A606),0)</f>
        <v>0</v>
      </c>
      <c r="B607" t="str">
        <f>IF(AND(A607&gt;0,A607&lt;='Output Report'!$H$71+1),B606+MC_hist!$M$11/'Output Report'!$H$71,"")</f>
        <v/>
      </c>
      <c r="C607" t="str">
        <f t="shared" si="27"/>
        <v/>
      </c>
      <c r="D607" s="45" t="str">
        <f>IF(A608&gt;0,C607/'Output Report'!$H$70,"")</f>
        <v/>
      </c>
      <c r="E607" s="46" t="str">
        <f>IF(A608&gt;0,SUM($D$2:D607),"")</f>
        <v/>
      </c>
      <c r="F607" t="str">
        <f t="shared" si="28"/>
        <v/>
      </c>
      <c r="G607" t="str">
        <f t="shared" si="29"/>
        <v/>
      </c>
    </row>
    <row r="608" spans="1:7" x14ac:dyDescent="0.3">
      <c r="A608">
        <f>IF('Output Report'!$H$71+2&gt;ROW(A607),ROW(A607),0)</f>
        <v>0</v>
      </c>
      <c r="B608" t="str">
        <f>IF(AND(A608&gt;0,A608&lt;='Output Report'!$H$71+1),B607+MC_hist!$M$11/'Output Report'!$H$71,"")</f>
        <v/>
      </c>
      <c r="C608" t="str">
        <f t="shared" si="27"/>
        <v/>
      </c>
      <c r="D608" s="45" t="str">
        <f>IF(A609&gt;0,C608/'Output Report'!$H$70,"")</f>
        <v/>
      </c>
      <c r="E608" s="46" t="str">
        <f>IF(A609&gt;0,SUM($D$2:D608),"")</f>
        <v/>
      </c>
      <c r="F608" t="str">
        <f t="shared" si="28"/>
        <v/>
      </c>
      <c r="G608" t="str">
        <f t="shared" si="29"/>
        <v/>
      </c>
    </row>
    <row r="609" spans="1:7" x14ac:dyDescent="0.3">
      <c r="A609">
        <f>IF('Output Report'!$H$71+2&gt;ROW(A608),ROW(A608),0)</f>
        <v>0</v>
      </c>
      <c r="B609" t="str">
        <f>IF(AND(A609&gt;0,A609&lt;='Output Report'!$H$71+1),B608+MC_hist!$M$11/'Output Report'!$H$71,"")</f>
        <v/>
      </c>
      <c r="C609" t="str">
        <f t="shared" si="27"/>
        <v/>
      </c>
      <c r="D609" s="45" t="str">
        <f>IF(A610&gt;0,C609/'Output Report'!$H$70,"")</f>
        <v/>
      </c>
      <c r="E609" s="46" t="str">
        <f>IF(A610&gt;0,SUM($D$2:D609),"")</f>
        <v/>
      </c>
      <c r="F609" t="str">
        <f t="shared" si="28"/>
        <v/>
      </c>
      <c r="G609" t="str">
        <f t="shared" si="29"/>
        <v/>
      </c>
    </row>
    <row r="610" spans="1:7" x14ac:dyDescent="0.3">
      <c r="A610">
        <f>IF('Output Report'!$H$71+2&gt;ROW(A609),ROW(A609),0)</f>
        <v>0</v>
      </c>
      <c r="B610" t="str">
        <f>IF(AND(A610&gt;0,A610&lt;='Output Report'!$H$71+1),B609+MC_hist!$M$11/'Output Report'!$H$71,"")</f>
        <v/>
      </c>
      <c r="C610" t="str">
        <f t="shared" si="27"/>
        <v/>
      </c>
      <c r="D610" s="45" t="str">
        <f>IF(A611&gt;0,C610/'Output Report'!$H$70,"")</f>
        <v/>
      </c>
      <c r="E610" s="46" t="str">
        <f>IF(A611&gt;0,SUM($D$2:D610),"")</f>
        <v/>
      </c>
      <c r="F610" t="str">
        <f t="shared" si="28"/>
        <v/>
      </c>
      <c r="G610" t="str">
        <f t="shared" si="29"/>
        <v/>
      </c>
    </row>
    <row r="611" spans="1:7" x14ac:dyDescent="0.3">
      <c r="A611">
        <f>IF('Output Report'!$H$71+2&gt;ROW(A610),ROW(A610),0)</f>
        <v>0</v>
      </c>
      <c r="B611" t="str">
        <f>IF(AND(A611&gt;0,A611&lt;='Output Report'!$H$71+1),B610+MC_hist!$M$11/'Output Report'!$H$71,"")</f>
        <v/>
      </c>
      <c r="C611" t="str">
        <f t="shared" si="27"/>
        <v/>
      </c>
      <c r="D611" s="45" t="str">
        <f>IF(A612&gt;0,C611/'Output Report'!$H$70,"")</f>
        <v/>
      </c>
      <c r="E611" s="46" t="str">
        <f>IF(A612&gt;0,SUM($D$2:D611),"")</f>
        <v/>
      </c>
      <c r="F611" t="str">
        <f t="shared" si="28"/>
        <v/>
      </c>
      <c r="G611" t="str">
        <f t="shared" si="29"/>
        <v/>
      </c>
    </row>
    <row r="612" spans="1:7" x14ac:dyDescent="0.3">
      <c r="A612">
        <f>IF('Output Report'!$H$71+2&gt;ROW(A611),ROW(A611),0)</f>
        <v>0</v>
      </c>
      <c r="B612" t="str">
        <f>IF(AND(A612&gt;0,A612&lt;='Output Report'!$H$71+1),B611+MC_hist!$M$11/'Output Report'!$H$71,"")</f>
        <v/>
      </c>
      <c r="C612" t="str">
        <f t="shared" si="27"/>
        <v/>
      </c>
      <c r="D612" s="45" t="str">
        <f>IF(A613&gt;0,C612/'Output Report'!$H$70,"")</f>
        <v/>
      </c>
      <c r="E612" s="46" t="str">
        <f>IF(A613&gt;0,SUM($D$2:D612),"")</f>
        <v/>
      </c>
      <c r="F612" t="str">
        <f t="shared" si="28"/>
        <v/>
      </c>
      <c r="G612" t="str">
        <f t="shared" si="29"/>
        <v/>
      </c>
    </row>
    <row r="613" spans="1:7" x14ac:dyDescent="0.3">
      <c r="A613">
        <f>IF('Output Report'!$H$71+2&gt;ROW(A612),ROW(A612),0)</f>
        <v>0</v>
      </c>
      <c r="B613" t="str">
        <f>IF(AND(A613&gt;0,A613&lt;='Output Report'!$H$71+1),B612+MC_hist!$M$11/'Output Report'!$H$71,"")</f>
        <v/>
      </c>
      <c r="C613" t="str">
        <f t="shared" si="27"/>
        <v/>
      </c>
      <c r="D613" s="45" t="str">
        <f>IF(A614&gt;0,C613/'Output Report'!$H$70,"")</f>
        <v/>
      </c>
      <c r="E613" s="46" t="str">
        <f>IF(A614&gt;0,SUM($D$2:D613),"")</f>
        <v/>
      </c>
      <c r="F613" t="str">
        <f t="shared" si="28"/>
        <v/>
      </c>
      <c r="G613" t="str">
        <f t="shared" si="29"/>
        <v/>
      </c>
    </row>
    <row r="614" spans="1:7" x14ac:dyDescent="0.3">
      <c r="A614">
        <f>IF('Output Report'!$H$71+2&gt;ROW(A613),ROW(A613),0)</f>
        <v>0</v>
      </c>
      <c r="B614" t="str">
        <f>IF(AND(A614&gt;0,A614&lt;='Output Report'!$H$71+1),B613+MC_hist!$M$11/'Output Report'!$H$71,"")</f>
        <v/>
      </c>
      <c r="C614" t="str">
        <f t="shared" si="27"/>
        <v/>
      </c>
      <c r="D614" s="45" t="str">
        <f>IF(A615&gt;0,C614/'Output Report'!$H$70,"")</f>
        <v/>
      </c>
      <c r="E614" s="46" t="str">
        <f>IF(A615&gt;0,SUM($D$2:D614),"")</f>
        <v/>
      </c>
      <c r="F614" t="str">
        <f t="shared" si="28"/>
        <v/>
      </c>
      <c r="G614" t="str">
        <f t="shared" si="29"/>
        <v/>
      </c>
    </row>
    <row r="615" spans="1:7" x14ac:dyDescent="0.3">
      <c r="A615">
        <f>IF('Output Report'!$H$71+2&gt;ROW(A614),ROW(A614),0)</f>
        <v>0</v>
      </c>
      <c r="B615" t="str">
        <f>IF(AND(A615&gt;0,A615&lt;='Output Report'!$H$71+1),B614+MC_hist!$M$11/'Output Report'!$H$71,"")</f>
        <v/>
      </c>
      <c r="C615" t="str">
        <f t="shared" si="27"/>
        <v/>
      </c>
      <c r="D615" s="45" t="str">
        <f>IF(A616&gt;0,C615/'Output Report'!$H$70,"")</f>
        <v/>
      </c>
      <c r="E615" s="46" t="str">
        <f>IF(A616&gt;0,SUM($D$2:D615),"")</f>
        <v/>
      </c>
      <c r="F615" t="str">
        <f t="shared" si="28"/>
        <v/>
      </c>
      <c r="G615" t="str">
        <f t="shared" si="29"/>
        <v/>
      </c>
    </row>
    <row r="616" spans="1:7" x14ac:dyDescent="0.3">
      <c r="A616">
        <f>IF('Output Report'!$H$71+2&gt;ROW(A615),ROW(A615),0)</f>
        <v>0</v>
      </c>
      <c r="B616" t="str">
        <f>IF(AND(A616&gt;0,A616&lt;='Output Report'!$H$71+1),B615+MC_hist!$M$11/'Output Report'!$H$71,"")</f>
        <v/>
      </c>
      <c r="C616" t="str">
        <f t="shared" si="27"/>
        <v/>
      </c>
      <c r="D616" s="45" t="str">
        <f>IF(A617&gt;0,C616/'Output Report'!$H$70,"")</f>
        <v/>
      </c>
      <c r="E616" s="46" t="str">
        <f>IF(A617&gt;0,SUM($D$2:D616),"")</f>
        <v/>
      </c>
      <c r="F616" t="str">
        <f t="shared" si="28"/>
        <v/>
      </c>
      <c r="G616" t="str">
        <f t="shared" si="29"/>
        <v/>
      </c>
    </row>
    <row r="617" spans="1:7" x14ac:dyDescent="0.3">
      <c r="A617">
        <f>IF('Output Report'!$H$71+2&gt;ROW(A616),ROW(A616),0)</f>
        <v>0</v>
      </c>
      <c r="B617" t="str">
        <f>IF(AND(A617&gt;0,A617&lt;='Output Report'!$H$71+1),B616+MC_hist!$M$11/'Output Report'!$H$71,"")</f>
        <v/>
      </c>
      <c r="C617" t="str">
        <f t="shared" si="27"/>
        <v/>
      </c>
      <c r="D617" s="45" t="str">
        <f>IF(A618&gt;0,C617/'Output Report'!$H$70,"")</f>
        <v/>
      </c>
      <c r="E617" s="46" t="str">
        <f>IF(A618&gt;0,SUM($D$2:D617),"")</f>
        <v/>
      </c>
      <c r="F617" t="str">
        <f t="shared" si="28"/>
        <v/>
      </c>
      <c r="G617" t="str">
        <f t="shared" si="29"/>
        <v/>
      </c>
    </row>
    <row r="618" spans="1:7" x14ac:dyDescent="0.3">
      <c r="A618">
        <f>IF('Output Report'!$H$71+2&gt;ROW(A617),ROW(A617),0)</f>
        <v>0</v>
      </c>
      <c r="B618" t="str">
        <f>IF(AND(A618&gt;0,A618&lt;='Output Report'!$H$71+1),B617+MC_hist!$M$11/'Output Report'!$H$71,"")</f>
        <v/>
      </c>
      <c r="C618" t="str">
        <f t="shared" si="27"/>
        <v/>
      </c>
      <c r="D618" s="45" t="str">
        <f>IF(A619&gt;0,C618/'Output Report'!$H$70,"")</f>
        <v/>
      </c>
      <c r="E618" s="46" t="str">
        <f>IF(A619&gt;0,SUM($D$2:D618),"")</f>
        <v/>
      </c>
      <c r="F618" t="str">
        <f t="shared" si="28"/>
        <v/>
      </c>
      <c r="G618" t="str">
        <f t="shared" si="29"/>
        <v/>
      </c>
    </row>
    <row r="619" spans="1:7" x14ac:dyDescent="0.3">
      <c r="A619">
        <f>IF('Output Report'!$H$71+2&gt;ROW(A618),ROW(A618),0)</f>
        <v>0</v>
      </c>
      <c r="B619" t="str">
        <f>IF(AND(A619&gt;0,A619&lt;='Output Report'!$H$71+1),B618+MC_hist!$M$11/'Output Report'!$H$71,"")</f>
        <v/>
      </c>
      <c r="C619" t="str">
        <f t="shared" si="27"/>
        <v/>
      </c>
      <c r="D619" s="45" t="str">
        <f>IF(A620&gt;0,C619/'Output Report'!$H$70,"")</f>
        <v/>
      </c>
      <c r="E619" s="46" t="str">
        <f>IF(A620&gt;0,SUM($D$2:D619),"")</f>
        <v/>
      </c>
      <c r="F619" t="str">
        <f t="shared" si="28"/>
        <v/>
      </c>
      <c r="G619" t="str">
        <f t="shared" si="29"/>
        <v/>
      </c>
    </row>
    <row r="620" spans="1:7" x14ac:dyDescent="0.3">
      <c r="A620">
        <f>IF('Output Report'!$H$71+2&gt;ROW(A619),ROW(A619),0)</f>
        <v>0</v>
      </c>
      <c r="B620" t="str">
        <f>IF(AND(A620&gt;0,A620&lt;='Output Report'!$H$71+1),B619+MC_hist!$M$11/'Output Report'!$H$71,"")</f>
        <v/>
      </c>
      <c r="C620" t="str">
        <f t="shared" si="27"/>
        <v/>
      </c>
      <c r="D620" s="45" t="str">
        <f>IF(A621&gt;0,C620/'Output Report'!$H$70,"")</f>
        <v/>
      </c>
      <c r="E620" s="46" t="str">
        <f>IF(A621&gt;0,SUM($D$2:D620),"")</f>
        <v/>
      </c>
      <c r="F620" t="str">
        <f t="shared" si="28"/>
        <v/>
      </c>
      <c r="G620" t="str">
        <f t="shared" si="29"/>
        <v/>
      </c>
    </row>
    <row r="621" spans="1:7" x14ac:dyDescent="0.3">
      <c r="A621">
        <f>IF('Output Report'!$H$71+2&gt;ROW(A620),ROW(A620),0)</f>
        <v>0</v>
      </c>
      <c r="B621" t="str">
        <f>IF(AND(A621&gt;0,A621&lt;='Output Report'!$H$71+1),B620+MC_hist!$M$11/'Output Report'!$H$71,"")</f>
        <v/>
      </c>
      <c r="C621" t="str">
        <f t="shared" si="27"/>
        <v/>
      </c>
      <c r="D621" s="45" t="str">
        <f>IF(A622&gt;0,C621/'Output Report'!$H$70,"")</f>
        <v/>
      </c>
      <c r="E621" s="46" t="str">
        <f>IF(A622&gt;0,SUM($D$2:D621),"")</f>
        <v/>
      </c>
      <c r="F621" t="str">
        <f t="shared" si="28"/>
        <v/>
      </c>
      <c r="G621" t="str">
        <f t="shared" si="29"/>
        <v/>
      </c>
    </row>
    <row r="622" spans="1:7" x14ac:dyDescent="0.3">
      <c r="A622">
        <f>IF('Output Report'!$H$71+2&gt;ROW(A621),ROW(A621),0)</f>
        <v>0</v>
      </c>
      <c r="B622" t="str">
        <f>IF(AND(A622&gt;0,A622&lt;='Output Report'!$H$71+1),B621+MC_hist!$M$11/'Output Report'!$H$71,"")</f>
        <v/>
      </c>
      <c r="C622" t="str">
        <f t="shared" ref="C622:C685" si="30">IF(A623&gt;0,COUNTIFS(data_sim,"&gt;"&amp;B622,data_sim,"&lt;="&amp;B623),"")</f>
        <v/>
      </c>
      <c r="D622" s="45" t="str">
        <f>IF(A623&gt;0,C622/'Output Report'!$H$70,"")</f>
        <v/>
      </c>
      <c r="E622" s="46" t="str">
        <f>IF(A623&gt;0,SUM($D$2:D622),"")</f>
        <v/>
      </c>
      <c r="F622" t="str">
        <f t="shared" ref="F622:F685" si="31">IF(B622&lt;=0,D622,"")</f>
        <v/>
      </c>
      <c r="G622" t="str">
        <f t="shared" si="29"/>
        <v/>
      </c>
    </row>
    <row r="623" spans="1:7" x14ac:dyDescent="0.3">
      <c r="A623">
        <f>IF('Output Report'!$H$71+2&gt;ROW(A622),ROW(A622),0)</f>
        <v>0</v>
      </c>
      <c r="B623" t="str">
        <f>IF(AND(A623&gt;0,A623&lt;='Output Report'!$H$71+1),B622+MC_hist!$M$11/'Output Report'!$H$71,"")</f>
        <v/>
      </c>
      <c r="C623" t="str">
        <f t="shared" si="30"/>
        <v/>
      </c>
      <c r="D623" s="45" t="str">
        <f>IF(A624&gt;0,C623/'Output Report'!$H$70,"")</f>
        <v/>
      </c>
      <c r="E623" s="46" t="str">
        <f>IF(A624&gt;0,SUM($D$2:D623),"")</f>
        <v/>
      </c>
      <c r="F623" t="str">
        <f t="shared" si="31"/>
        <v/>
      </c>
      <c r="G623" t="str">
        <f t="shared" si="29"/>
        <v/>
      </c>
    </row>
    <row r="624" spans="1:7" x14ac:dyDescent="0.3">
      <c r="A624">
        <f>IF('Output Report'!$H$71+2&gt;ROW(A623),ROW(A623),0)</f>
        <v>0</v>
      </c>
      <c r="B624" t="str">
        <f>IF(AND(A624&gt;0,A624&lt;='Output Report'!$H$71+1),B623+MC_hist!$M$11/'Output Report'!$H$71,"")</f>
        <v/>
      </c>
      <c r="C624" t="str">
        <f t="shared" si="30"/>
        <v/>
      </c>
      <c r="D624" s="45" t="str">
        <f>IF(A625&gt;0,C624/'Output Report'!$H$70,"")</f>
        <v/>
      </c>
      <c r="E624" s="46" t="str">
        <f>IF(A625&gt;0,SUM($D$2:D624),"")</f>
        <v/>
      </c>
      <c r="F624" t="str">
        <f t="shared" si="31"/>
        <v/>
      </c>
      <c r="G624" t="str">
        <f t="shared" si="29"/>
        <v/>
      </c>
    </row>
    <row r="625" spans="1:7" x14ac:dyDescent="0.3">
      <c r="A625">
        <f>IF('Output Report'!$H$71+2&gt;ROW(A624),ROW(A624),0)</f>
        <v>0</v>
      </c>
      <c r="B625" t="str">
        <f>IF(AND(A625&gt;0,A625&lt;='Output Report'!$H$71+1),B624+MC_hist!$M$11/'Output Report'!$H$71,"")</f>
        <v/>
      </c>
      <c r="C625" t="str">
        <f t="shared" si="30"/>
        <v/>
      </c>
      <c r="D625" s="45" t="str">
        <f>IF(A626&gt;0,C625/'Output Report'!$H$70,"")</f>
        <v/>
      </c>
      <c r="E625" s="46" t="str">
        <f>IF(A626&gt;0,SUM($D$2:D625),"")</f>
        <v/>
      </c>
      <c r="F625" t="str">
        <f t="shared" si="31"/>
        <v/>
      </c>
      <c r="G625" t="str">
        <f t="shared" si="29"/>
        <v/>
      </c>
    </row>
    <row r="626" spans="1:7" x14ac:dyDescent="0.3">
      <c r="A626">
        <f>IF('Output Report'!$H$71+2&gt;ROW(A625),ROW(A625),0)</f>
        <v>0</v>
      </c>
      <c r="B626" t="str">
        <f>IF(AND(A626&gt;0,A626&lt;='Output Report'!$H$71+1),B625+MC_hist!$M$11/'Output Report'!$H$71,"")</f>
        <v/>
      </c>
      <c r="C626" t="str">
        <f t="shared" si="30"/>
        <v/>
      </c>
      <c r="D626" s="45" t="str">
        <f>IF(A627&gt;0,C626/'Output Report'!$H$70,"")</f>
        <v/>
      </c>
      <c r="E626" s="46" t="str">
        <f>IF(A627&gt;0,SUM($D$2:D626),"")</f>
        <v/>
      </c>
      <c r="F626" t="str">
        <f t="shared" si="31"/>
        <v/>
      </c>
      <c r="G626" t="str">
        <f t="shared" si="29"/>
        <v/>
      </c>
    </row>
    <row r="627" spans="1:7" x14ac:dyDescent="0.3">
      <c r="A627">
        <f>IF('Output Report'!$H$71+2&gt;ROW(A626),ROW(A626),0)</f>
        <v>0</v>
      </c>
      <c r="B627" t="str">
        <f>IF(AND(A627&gt;0,A627&lt;='Output Report'!$H$71+1),B626+MC_hist!$M$11/'Output Report'!$H$71,"")</f>
        <v/>
      </c>
      <c r="C627" t="str">
        <f t="shared" si="30"/>
        <v/>
      </c>
      <c r="D627" s="45" t="str">
        <f>IF(A628&gt;0,C627/'Output Report'!$H$70,"")</f>
        <v/>
      </c>
      <c r="E627" s="46" t="str">
        <f>IF(A628&gt;0,SUM($D$2:D627),"")</f>
        <v/>
      </c>
      <c r="F627" t="str">
        <f t="shared" si="31"/>
        <v/>
      </c>
      <c r="G627" t="str">
        <f t="shared" si="29"/>
        <v/>
      </c>
    </row>
    <row r="628" spans="1:7" x14ac:dyDescent="0.3">
      <c r="A628">
        <f>IF('Output Report'!$H$71+2&gt;ROW(A627),ROW(A627),0)</f>
        <v>0</v>
      </c>
      <c r="B628" t="str">
        <f>IF(AND(A628&gt;0,A628&lt;='Output Report'!$H$71+1),B627+MC_hist!$M$11/'Output Report'!$H$71,"")</f>
        <v/>
      </c>
      <c r="C628" t="str">
        <f t="shared" si="30"/>
        <v/>
      </c>
      <c r="D628" s="45" t="str">
        <f>IF(A629&gt;0,C628/'Output Report'!$H$70,"")</f>
        <v/>
      </c>
      <c r="E628" s="46" t="str">
        <f>IF(A629&gt;0,SUM($D$2:D628),"")</f>
        <v/>
      </c>
      <c r="F628" t="str">
        <f t="shared" si="31"/>
        <v/>
      </c>
      <c r="G628" t="str">
        <f t="shared" si="29"/>
        <v/>
      </c>
    </row>
    <row r="629" spans="1:7" x14ac:dyDescent="0.3">
      <c r="A629">
        <f>IF('Output Report'!$H$71+2&gt;ROW(A628),ROW(A628),0)</f>
        <v>0</v>
      </c>
      <c r="B629" t="str">
        <f>IF(AND(A629&gt;0,A629&lt;='Output Report'!$H$71+1),B628+MC_hist!$M$11/'Output Report'!$H$71,"")</f>
        <v/>
      </c>
      <c r="C629" t="str">
        <f t="shared" si="30"/>
        <v/>
      </c>
      <c r="D629" s="45" t="str">
        <f>IF(A630&gt;0,C629/'Output Report'!$H$70,"")</f>
        <v/>
      </c>
      <c r="E629" s="46" t="str">
        <f>IF(A630&gt;0,SUM($D$2:D629),"")</f>
        <v/>
      </c>
      <c r="F629" t="str">
        <f t="shared" si="31"/>
        <v/>
      </c>
      <c r="G629" t="str">
        <f t="shared" si="29"/>
        <v/>
      </c>
    </row>
    <row r="630" spans="1:7" x14ac:dyDescent="0.3">
      <c r="A630">
        <f>IF('Output Report'!$H$71+2&gt;ROW(A629),ROW(A629),0)</f>
        <v>0</v>
      </c>
      <c r="B630" t="str">
        <f>IF(AND(A630&gt;0,A630&lt;='Output Report'!$H$71+1),B629+MC_hist!$M$11/'Output Report'!$H$71,"")</f>
        <v/>
      </c>
      <c r="C630" t="str">
        <f t="shared" si="30"/>
        <v/>
      </c>
      <c r="D630" s="45" t="str">
        <f>IF(A631&gt;0,C630/'Output Report'!$H$70,"")</f>
        <v/>
      </c>
      <c r="E630" s="46" t="str">
        <f>IF(A631&gt;0,SUM($D$2:D630),"")</f>
        <v/>
      </c>
      <c r="F630" t="str">
        <f t="shared" si="31"/>
        <v/>
      </c>
      <c r="G630" t="str">
        <f t="shared" si="29"/>
        <v/>
      </c>
    </row>
    <row r="631" spans="1:7" x14ac:dyDescent="0.3">
      <c r="A631">
        <f>IF('Output Report'!$H$71+2&gt;ROW(A630),ROW(A630),0)</f>
        <v>0</v>
      </c>
      <c r="B631" t="str">
        <f>IF(AND(A631&gt;0,A631&lt;='Output Report'!$H$71+1),B630+MC_hist!$M$11/'Output Report'!$H$71,"")</f>
        <v/>
      </c>
      <c r="C631" t="str">
        <f t="shared" si="30"/>
        <v/>
      </c>
      <c r="D631" s="45" t="str">
        <f>IF(A632&gt;0,C631/'Output Report'!$H$70,"")</f>
        <v/>
      </c>
      <c r="E631" s="46" t="str">
        <f>IF(A632&gt;0,SUM($D$2:D631),"")</f>
        <v/>
      </c>
      <c r="F631" t="str">
        <f t="shared" si="31"/>
        <v/>
      </c>
      <c r="G631" t="str">
        <f t="shared" si="29"/>
        <v/>
      </c>
    </row>
    <row r="632" spans="1:7" x14ac:dyDescent="0.3">
      <c r="A632">
        <f>IF('Output Report'!$H$71+2&gt;ROW(A631),ROW(A631),0)</f>
        <v>0</v>
      </c>
      <c r="B632" t="str">
        <f>IF(AND(A632&gt;0,A632&lt;='Output Report'!$H$71+1),B631+MC_hist!$M$11/'Output Report'!$H$71,"")</f>
        <v/>
      </c>
      <c r="C632" t="str">
        <f t="shared" si="30"/>
        <v/>
      </c>
      <c r="D632" s="45" t="str">
        <f>IF(A633&gt;0,C632/'Output Report'!$H$70,"")</f>
        <v/>
      </c>
      <c r="E632" s="46" t="str">
        <f>IF(A633&gt;0,SUM($D$2:D632),"")</f>
        <v/>
      </c>
      <c r="F632" t="str">
        <f t="shared" si="31"/>
        <v/>
      </c>
      <c r="G632" t="str">
        <f t="shared" si="29"/>
        <v/>
      </c>
    </row>
    <row r="633" spans="1:7" x14ac:dyDescent="0.3">
      <c r="A633">
        <f>IF('Output Report'!$H$71+2&gt;ROW(A632),ROW(A632),0)</f>
        <v>0</v>
      </c>
      <c r="B633" t="str">
        <f>IF(AND(A633&gt;0,A633&lt;='Output Report'!$H$71+1),B632+MC_hist!$M$11/'Output Report'!$H$71,"")</f>
        <v/>
      </c>
      <c r="C633" t="str">
        <f t="shared" si="30"/>
        <v/>
      </c>
      <c r="D633" s="45" t="str">
        <f>IF(A634&gt;0,C633/'Output Report'!$H$70,"")</f>
        <v/>
      </c>
      <c r="E633" s="46" t="str">
        <f>IF(A634&gt;0,SUM($D$2:D633),"")</f>
        <v/>
      </c>
      <c r="F633" t="str">
        <f t="shared" si="31"/>
        <v/>
      </c>
      <c r="G633" t="str">
        <f t="shared" si="29"/>
        <v/>
      </c>
    </row>
    <row r="634" spans="1:7" x14ac:dyDescent="0.3">
      <c r="A634">
        <f>IF('Output Report'!$H$71+2&gt;ROW(A633),ROW(A633),0)</f>
        <v>0</v>
      </c>
      <c r="B634" t="str">
        <f>IF(AND(A634&gt;0,A634&lt;='Output Report'!$H$71+1),B633+MC_hist!$M$11/'Output Report'!$H$71,"")</f>
        <v/>
      </c>
      <c r="C634" t="str">
        <f t="shared" si="30"/>
        <v/>
      </c>
      <c r="D634" s="45" t="str">
        <f>IF(A635&gt;0,C634/'Output Report'!$H$70,"")</f>
        <v/>
      </c>
      <c r="E634" s="46" t="str">
        <f>IF(A635&gt;0,SUM($D$2:D634),"")</f>
        <v/>
      </c>
      <c r="F634" t="str">
        <f t="shared" si="31"/>
        <v/>
      </c>
      <c r="G634" t="str">
        <f t="shared" si="29"/>
        <v/>
      </c>
    </row>
    <row r="635" spans="1:7" x14ac:dyDescent="0.3">
      <c r="A635">
        <f>IF('Output Report'!$H$71+2&gt;ROW(A634),ROW(A634),0)</f>
        <v>0</v>
      </c>
      <c r="B635" t="str">
        <f>IF(AND(A635&gt;0,A635&lt;='Output Report'!$H$71+1),B634+MC_hist!$M$11/'Output Report'!$H$71,"")</f>
        <v/>
      </c>
      <c r="C635" t="str">
        <f t="shared" si="30"/>
        <v/>
      </c>
      <c r="D635" s="45" t="str">
        <f>IF(A636&gt;0,C635/'Output Report'!$H$70,"")</f>
        <v/>
      </c>
      <c r="E635" s="46" t="str">
        <f>IF(A636&gt;0,SUM($D$2:D635),"")</f>
        <v/>
      </c>
      <c r="F635" t="str">
        <f t="shared" si="31"/>
        <v/>
      </c>
      <c r="G635" t="str">
        <f t="shared" si="29"/>
        <v/>
      </c>
    </row>
    <row r="636" spans="1:7" x14ac:dyDescent="0.3">
      <c r="A636">
        <f>IF('Output Report'!$H$71+2&gt;ROW(A635),ROW(A635),0)</f>
        <v>0</v>
      </c>
      <c r="B636" t="str">
        <f>IF(AND(A636&gt;0,A636&lt;='Output Report'!$H$71+1),B635+MC_hist!$M$11/'Output Report'!$H$71,"")</f>
        <v/>
      </c>
      <c r="C636" t="str">
        <f t="shared" si="30"/>
        <v/>
      </c>
      <c r="D636" s="45" t="str">
        <f>IF(A637&gt;0,C636/'Output Report'!$H$70,"")</f>
        <v/>
      </c>
      <c r="E636" s="46" t="str">
        <f>IF(A637&gt;0,SUM($D$2:D636),"")</f>
        <v/>
      </c>
      <c r="F636" t="str">
        <f t="shared" si="31"/>
        <v/>
      </c>
      <c r="G636" t="str">
        <f t="shared" si="29"/>
        <v/>
      </c>
    </row>
    <row r="637" spans="1:7" x14ac:dyDescent="0.3">
      <c r="A637">
        <f>IF('Output Report'!$H$71+2&gt;ROW(A636),ROW(A636),0)</f>
        <v>0</v>
      </c>
      <c r="B637" t="str">
        <f>IF(AND(A637&gt;0,A637&lt;='Output Report'!$H$71+1),B636+MC_hist!$M$11/'Output Report'!$H$71,"")</f>
        <v/>
      </c>
      <c r="C637" t="str">
        <f t="shared" si="30"/>
        <v/>
      </c>
      <c r="D637" s="45" t="str">
        <f>IF(A638&gt;0,C637/'Output Report'!$H$70,"")</f>
        <v/>
      </c>
      <c r="E637" s="46" t="str">
        <f>IF(A638&gt;0,SUM($D$2:D637),"")</f>
        <v/>
      </c>
      <c r="F637" t="str">
        <f t="shared" si="31"/>
        <v/>
      </c>
      <c r="G637" t="str">
        <f t="shared" si="29"/>
        <v/>
      </c>
    </row>
    <row r="638" spans="1:7" x14ac:dyDescent="0.3">
      <c r="A638">
        <f>IF('Output Report'!$H$71+2&gt;ROW(A637),ROW(A637),0)</f>
        <v>0</v>
      </c>
      <c r="B638" t="str">
        <f>IF(AND(A638&gt;0,A638&lt;='Output Report'!$H$71+1),B637+MC_hist!$M$11/'Output Report'!$H$71,"")</f>
        <v/>
      </c>
      <c r="C638" t="str">
        <f t="shared" si="30"/>
        <v/>
      </c>
      <c r="D638" s="45" t="str">
        <f>IF(A639&gt;0,C638/'Output Report'!$H$70,"")</f>
        <v/>
      </c>
      <c r="E638" s="46" t="str">
        <f>IF(A639&gt;0,SUM($D$2:D638),"")</f>
        <v/>
      </c>
      <c r="F638" t="str">
        <f t="shared" si="31"/>
        <v/>
      </c>
      <c r="G638" t="str">
        <f t="shared" si="29"/>
        <v/>
      </c>
    </row>
    <row r="639" spans="1:7" x14ac:dyDescent="0.3">
      <c r="A639">
        <f>IF('Output Report'!$H$71+2&gt;ROW(A638),ROW(A638),0)</f>
        <v>0</v>
      </c>
      <c r="B639" t="str">
        <f>IF(AND(A639&gt;0,A639&lt;='Output Report'!$H$71+1),B638+MC_hist!$M$11/'Output Report'!$H$71,"")</f>
        <v/>
      </c>
      <c r="C639" t="str">
        <f t="shared" si="30"/>
        <v/>
      </c>
      <c r="D639" s="45" t="str">
        <f>IF(A640&gt;0,C639/'Output Report'!$H$70,"")</f>
        <v/>
      </c>
      <c r="E639" s="46" t="str">
        <f>IF(A640&gt;0,SUM($D$2:D639),"")</f>
        <v/>
      </c>
      <c r="F639" t="str">
        <f t="shared" si="31"/>
        <v/>
      </c>
      <c r="G639" t="str">
        <f t="shared" si="29"/>
        <v/>
      </c>
    </row>
    <row r="640" spans="1:7" x14ac:dyDescent="0.3">
      <c r="A640">
        <f>IF('Output Report'!$H$71+2&gt;ROW(A639),ROW(A639),0)</f>
        <v>0</v>
      </c>
      <c r="B640" t="str">
        <f>IF(AND(A640&gt;0,A640&lt;='Output Report'!$H$71+1),B639+MC_hist!$M$11/'Output Report'!$H$71,"")</f>
        <v/>
      </c>
      <c r="C640" t="str">
        <f t="shared" si="30"/>
        <v/>
      </c>
      <c r="D640" s="45" t="str">
        <f>IF(A641&gt;0,C640/'Output Report'!$H$70,"")</f>
        <v/>
      </c>
      <c r="E640" s="46" t="str">
        <f>IF(A641&gt;0,SUM($D$2:D640),"")</f>
        <v/>
      </c>
      <c r="F640" t="str">
        <f t="shared" si="31"/>
        <v/>
      </c>
      <c r="G640" t="str">
        <f t="shared" si="29"/>
        <v/>
      </c>
    </row>
    <row r="641" spans="1:7" x14ac:dyDescent="0.3">
      <c r="A641">
        <f>IF('Output Report'!$H$71+2&gt;ROW(A640),ROW(A640),0)</f>
        <v>0</v>
      </c>
      <c r="B641" t="str">
        <f>IF(AND(A641&gt;0,A641&lt;='Output Report'!$H$71+1),B640+MC_hist!$M$11/'Output Report'!$H$71,"")</f>
        <v/>
      </c>
      <c r="C641" t="str">
        <f t="shared" si="30"/>
        <v/>
      </c>
      <c r="D641" s="45" t="str">
        <f>IF(A642&gt;0,C641/'Output Report'!$H$70,"")</f>
        <v/>
      </c>
      <c r="E641" s="46" t="str">
        <f>IF(A642&gt;0,SUM($D$2:D641),"")</f>
        <v/>
      </c>
      <c r="F641" t="str">
        <f t="shared" si="31"/>
        <v/>
      </c>
      <c r="G641" t="str">
        <f t="shared" si="29"/>
        <v/>
      </c>
    </row>
    <row r="642" spans="1:7" x14ac:dyDescent="0.3">
      <c r="A642">
        <f>IF('Output Report'!$H$71+2&gt;ROW(A641),ROW(A641),0)</f>
        <v>0</v>
      </c>
      <c r="B642" t="str">
        <f>IF(AND(A642&gt;0,A642&lt;='Output Report'!$H$71+1),B641+MC_hist!$M$11/'Output Report'!$H$71,"")</f>
        <v/>
      </c>
      <c r="C642" t="str">
        <f t="shared" si="30"/>
        <v/>
      </c>
      <c r="D642" s="45" t="str">
        <f>IF(A643&gt;0,C642/'Output Report'!$H$70,"")</f>
        <v/>
      </c>
      <c r="E642" s="46" t="str">
        <f>IF(A643&gt;0,SUM($D$2:D642),"")</f>
        <v/>
      </c>
      <c r="F642" t="str">
        <f t="shared" si="31"/>
        <v/>
      </c>
      <c r="G642" t="str">
        <f t="shared" si="29"/>
        <v/>
      </c>
    </row>
    <row r="643" spans="1:7" x14ac:dyDescent="0.3">
      <c r="A643">
        <f>IF('Output Report'!$H$71+2&gt;ROW(A642),ROW(A642),0)</f>
        <v>0</v>
      </c>
      <c r="B643" t="str">
        <f>IF(AND(A643&gt;0,A643&lt;='Output Report'!$H$71+1),B642+MC_hist!$M$11/'Output Report'!$H$71,"")</f>
        <v/>
      </c>
      <c r="C643" t="str">
        <f t="shared" si="30"/>
        <v/>
      </c>
      <c r="D643" s="45" t="str">
        <f>IF(A644&gt;0,C643/'Output Report'!$H$70,"")</f>
        <v/>
      </c>
      <c r="E643" s="46" t="str">
        <f>IF(A644&gt;0,SUM($D$2:D643),"")</f>
        <v/>
      </c>
      <c r="F643" t="str">
        <f t="shared" si="31"/>
        <v/>
      </c>
      <c r="G643" t="str">
        <f t="shared" ref="G643:G706" si="32">IF(B643&lt;=0,E643,"")</f>
        <v/>
      </c>
    </row>
    <row r="644" spans="1:7" x14ac:dyDescent="0.3">
      <c r="A644">
        <f>IF('Output Report'!$H$71+2&gt;ROW(A643),ROW(A643),0)</f>
        <v>0</v>
      </c>
      <c r="B644" t="str">
        <f>IF(AND(A644&gt;0,A644&lt;='Output Report'!$H$71+1),B643+MC_hist!$M$11/'Output Report'!$H$71,"")</f>
        <v/>
      </c>
      <c r="C644" t="str">
        <f t="shared" si="30"/>
        <v/>
      </c>
      <c r="D644" s="45" t="str">
        <f>IF(A645&gt;0,C644/'Output Report'!$H$70,"")</f>
        <v/>
      </c>
      <c r="E644" s="46" t="str">
        <f>IF(A645&gt;0,SUM($D$2:D644),"")</f>
        <v/>
      </c>
      <c r="F644" t="str">
        <f t="shared" si="31"/>
        <v/>
      </c>
      <c r="G644" t="str">
        <f t="shared" si="32"/>
        <v/>
      </c>
    </row>
    <row r="645" spans="1:7" x14ac:dyDescent="0.3">
      <c r="A645">
        <f>IF('Output Report'!$H$71+2&gt;ROW(A644),ROW(A644),0)</f>
        <v>0</v>
      </c>
      <c r="B645" t="str">
        <f>IF(AND(A645&gt;0,A645&lt;='Output Report'!$H$71+1),B644+MC_hist!$M$11/'Output Report'!$H$71,"")</f>
        <v/>
      </c>
      <c r="C645" t="str">
        <f t="shared" si="30"/>
        <v/>
      </c>
      <c r="D645" s="45" t="str">
        <f>IF(A646&gt;0,C645/'Output Report'!$H$70,"")</f>
        <v/>
      </c>
      <c r="E645" s="46" t="str">
        <f>IF(A646&gt;0,SUM($D$2:D645),"")</f>
        <v/>
      </c>
      <c r="F645" t="str">
        <f t="shared" si="31"/>
        <v/>
      </c>
      <c r="G645" t="str">
        <f t="shared" si="32"/>
        <v/>
      </c>
    </row>
    <row r="646" spans="1:7" x14ac:dyDescent="0.3">
      <c r="A646">
        <f>IF('Output Report'!$H$71+2&gt;ROW(A645),ROW(A645),0)</f>
        <v>0</v>
      </c>
      <c r="B646" t="str">
        <f>IF(AND(A646&gt;0,A646&lt;='Output Report'!$H$71+1),B645+MC_hist!$M$11/'Output Report'!$H$71,"")</f>
        <v/>
      </c>
      <c r="C646" t="str">
        <f t="shared" si="30"/>
        <v/>
      </c>
      <c r="D646" s="45" t="str">
        <f>IF(A647&gt;0,C646/'Output Report'!$H$70,"")</f>
        <v/>
      </c>
      <c r="E646" s="46" t="str">
        <f>IF(A647&gt;0,SUM($D$2:D646),"")</f>
        <v/>
      </c>
      <c r="F646" t="str">
        <f t="shared" si="31"/>
        <v/>
      </c>
      <c r="G646" t="str">
        <f t="shared" si="32"/>
        <v/>
      </c>
    </row>
    <row r="647" spans="1:7" x14ac:dyDescent="0.3">
      <c r="A647">
        <f>IF('Output Report'!$H$71+2&gt;ROW(A646),ROW(A646),0)</f>
        <v>0</v>
      </c>
      <c r="B647" t="str">
        <f>IF(AND(A647&gt;0,A647&lt;='Output Report'!$H$71+1),B646+MC_hist!$M$11/'Output Report'!$H$71,"")</f>
        <v/>
      </c>
      <c r="C647" t="str">
        <f t="shared" si="30"/>
        <v/>
      </c>
      <c r="D647" s="45" t="str">
        <f>IF(A648&gt;0,C647/'Output Report'!$H$70,"")</f>
        <v/>
      </c>
      <c r="E647" s="46" t="str">
        <f>IF(A648&gt;0,SUM($D$2:D647),"")</f>
        <v/>
      </c>
      <c r="F647" t="str">
        <f t="shared" si="31"/>
        <v/>
      </c>
      <c r="G647" t="str">
        <f t="shared" si="32"/>
        <v/>
      </c>
    </row>
    <row r="648" spans="1:7" x14ac:dyDescent="0.3">
      <c r="A648">
        <f>IF('Output Report'!$H$71+2&gt;ROW(A647),ROW(A647),0)</f>
        <v>0</v>
      </c>
      <c r="B648" t="str">
        <f>IF(AND(A648&gt;0,A648&lt;='Output Report'!$H$71+1),B647+MC_hist!$M$11/'Output Report'!$H$71,"")</f>
        <v/>
      </c>
      <c r="C648" t="str">
        <f t="shared" si="30"/>
        <v/>
      </c>
      <c r="D648" s="45" t="str">
        <f>IF(A649&gt;0,C648/'Output Report'!$H$70,"")</f>
        <v/>
      </c>
      <c r="E648" s="46" t="str">
        <f>IF(A649&gt;0,SUM($D$2:D648),"")</f>
        <v/>
      </c>
      <c r="F648" t="str">
        <f t="shared" si="31"/>
        <v/>
      </c>
      <c r="G648" t="str">
        <f t="shared" si="32"/>
        <v/>
      </c>
    </row>
    <row r="649" spans="1:7" x14ac:dyDescent="0.3">
      <c r="A649">
        <f>IF('Output Report'!$H$71+2&gt;ROW(A648),ROW(A648),0)</f>
        <v>0</v>
      </c>
      <c r="B649" t="str">
        <f>IF(AND(A649&gt;0,A649&lt;='Output Report'!$H$71+1),B648+MC_hist!$M$11/'Output Report'!$H$71,"")</f>
        <v/>
      </c>
      <c r="C649" t="str">
        <f t="shared" si="30"/>
        <v/>
      </c>
      <c r="D649" s="45" t="str">
        <f>IF(A650&gt;0,C649/'Output Report'!$H$70,"")</f>
        <v/>
      </c>
      <c r="E649" s="46" t="str">
        <f>IF(A650&gt;0,SUM($D$2:D649),"")</f>
        <v/>
      </c>
      <c r="F649" t="str">
        <f t="shared" si="31"/>
        <v/>
      </c>
      <c r="G649" t="str">
        <f t="shared" si="32"/>
        <v/>
      </c>
    </row>
    <row r="650" spans="1:7" x14ac:dyDescent="0.3">
      <c r="A650">
        <f>IF('Output Report'!$H$71+2&gt;ROW(A649),ROW(A649),0)</f>
        <v>0</v>
      </c>
      <c r="B650" t="str">
        <f>IF(AND(A650&gt;0,A650&lt;='Output Report'!$H$71+1),B649+MC_hist!$M$11/'Output Report'!$H$71,"")</f>
        <v/>
      </c>
      <c r="C650" t="str">
        <f t="shared" si="30"/>
        <v/>
      </c>
      <c r="D650" s="45" t="str">
        <f>IF(A651&gt;0,C650/'Output Report'!$H$70,"")</f>
        <v/>
      </c>
      <c r="E650" s="46" t="str">
        <f>IF(A651&gt;0,SUM($D$2:D650),"")</f>
        <v/>
      </c>
      <c r="F650" t="str">
        <f t="shared" si="31"/>
        <v/>
      </c>
      <c r="G650" t="str">
        <f t="shared" si="32"/>
        <v/>
      </c>
    </row>
    <row r="651" spans="1:7" x14ac:dyDescent="0.3">
      <c r="A651">
        <f>IF('Output Report'!$H$71+2&gt;ROW(A650),ROW(A650),0)</f>
        <v>0</v>
      </c>
      <c r="B651" t="str">
        <f>IF(AND(A651&gt;0,A651&lt;='Output Report'!$H$71+1),B650+MC_hist!$M$11/'Output Report'!$H$71,"")</f>
        <v/>
      </c>
      <c r="C651" t="str">
        <f t="shared" si="30"/>
        <v/>
      </c>
      <c r="D651" s="45" t="str">
        <f>IF(A652&gt;0,C651/'Output Report'!$H$70,"")</f>
        <v/>
      </c>
      <c r="E651" s="46" t="str">
        <f>IF(A652&gt;0,SUM($D$2:D651),"")</f>
        <v/>
      </c>
      <c r="F651" t="str">
        <f t="shared" si="31"/>
        <v/>
      </c>
      <c r="G651" t="str">
        <f t="shared" si="32"/>
        <v/>
      </c>
    </row>
    <row r="652" spans="1:7" x14ac:dyDescent="0.3">
      <c r="A652">
        <f>IF('Output Report'!$H$71+2&gt;ROW(A651),ROW(A651),0)</f>
        <v>0</v>
      </c>
      <c r="B652" t="str">
        <f>IF(AND(A652&gt;0,A652&lt;='Output Report'!$H$71+1),B651+MC_hist!$M$11/'Output Report'!$H$71,"")</f>
        <v/>
      </c>
      <c r="C652" t="str">
        <f t="shared" si="30"/>
        <v/>
      </c>
      <c r="D652" s="45" t="str">
        <f>IF(A653&gt;0,C652/'Output Report'!$H$70,"")</f>
        <v/>
      </c>
      <c r="E652" s="46" t="str">
        <f>IF(A653&gt;0,SUM($D$2:D652),"")</f>
        <v/>
      </c>
      <c r="F652" t="str">
        <f t="shared" si="31"/>
        <v/>
      </c>
      <c r="G652" t="str">
        <f t="shared" si="32"/>
        <v/>
      </c>
    </row>
    <row r="653" spans="1:7" x14ac:dyDescent="0.3">
      <c r="A653">
        <f>IF('Output Report'!$H$71+2&gt;ROW(A652),ROW(A652),0)</f>
        <v>0</v>
      </c>
      <c r="B653" t="str">
        <f>IF(AND(A653&gt;0,A653&lt;='Output Report'!$H$71+1),B652+MC_hist!$M$11/'Output Report'!$H$71,"")</f>
        <v/>
      </c>
      <c r="C653" t="str">
        <f t="shared" si="30"/>
        <v/>
      </c>
      <c r="D653" s="45" t="str">
        <f>IF(A654&gt;0,C653/'Output Report'!$H$70,"")</f>
        <v/>
      </c>
      <c r="E653" s="46" t="str">
        <f>IF(A654&gt;0,SUM($D$2:D653),"")</f>
        <v/>
      </c>
      <c r="F653" t="str">
        <f t="shared" si="31"/>
        <v/>
      </c>
      <c r="G653" t="str">
        <f t="shared" si="32"/>
        <v/>
      </c>
    </row>
    <row r="654" spans="1:7" x14ac:dyDescent="0.3">
      <c r="A654">
        <f>IF('Output Report'!$H$71+2&gt;ROW(A653),ROW(A653),0)</f>
        <v>0</v>
      </c>
      <c r="B654" t="str">
        <f>IF(AND(A654&gt;0,A654&lt;='Output Report'!$H$71+1),B653+MC_hist!$M$11/'Output Report'!$H$71,"")</f>
        <v/>
      </c>
      <c r="C654" t="str">
        <f t="shared" si="30"/>
        <v/>
      </c>
      <c r="D654" s="45" t="str">
        <f>IF(A655&gt;0,C654/'Output Report'!$H$70,"")</f>
        <v/>
      </c>
      <c r="E654" s="46" t="str">
        <f>IF(A655&gt;0,SUM($D$2:D654),"")</f>
        <v/>
      </c>
      <c r="F654" t="str">
        <f t="shared" si="31"/>
        <v/>
      </c>
      <c r="G654" t="str">
        <f t="shared" si="32"/>
        <v/>
      </c>
    </row>
    <row r="655" spans="1:7" x14ac:dyDescent="0.3">
      <c r="A655">
        <f>IF('Output Report'!$H$71+2&gt;ROW(A654),ROW(A654),0)</f>
        <v>0</v>
      </c>
      <c r="B655" t="str">
        <f>IF(AND(A655&gt;0,A655&lt;='Output Report'!$H$71+1),B654+MC_hist!$M$11/'Output Report'!$H$71,"")</f>
        <v/>
      </c>
      <c r="C655" t="str">
        <f t="shared" si="30"/>
        <v/>
      </c>
      <c r="D655" s="45" t="str">
        <f>IF(A656&gt;0,C655/'Output Report'!$H$70,"")</f>
        <v/>
      </c>
      <c r="E655" s="46" t="str">
        <f>IF(A656&gt;0,SUM($D$2:D655),"")</f>
        <v/>
      </c>
      <c r="F655" t="str">
        <f t="shared" si="31"/>
        <v/>
      </c>
      <c r="G655" t="str">
        <f t="shared" si="32"/>
        <v/>
      </c>
    </row>
    <row r="656" spans="1:7" x14ac:dyDescent="0.3">
      <c r="A656">
        <f>IF('Output Report'!$H$71+2&gt;ROW(A655),ROW(A655),0)</f>
        <v>0</v>
      </c>
      <c r="B656" t="str">
        <f>IF(AND(A656&gt;0,A656&lt;='Output Report'!$H$71+1),B655+MC_hist!$M$11/'Output Report'!$H$71,"")</f>
        <v/>
      </c>
      <c r="C656" t="str">
        <f t="shared" si="30"/>
        <v/>
      </c>
      <c r="D656" s="45" t="str">
        <f>IF(A657&gt;0,C656/'Output Report'!$H$70,"")</f>
        <v/>
      </c>
      <c r="E656" s="46" t="str">
        <f>IF(A657&gt;0,SUM($D$2:D656),"")</f>
        <v/>
      </c>
      <c r="F656" t="str">
        <f t="shared" si="31"/>
        <v/>
      </c>
      <c r="G656" t="str">
        <f t="shared" si="32"/>
        <v/>
      </c>
    </row>
    <row r="657" spans="1:7" x14ac:dyDescent="0.3">
      <c r="A657">
        <f>IF('Output Report'!$H$71+2&gt;ROW(A656),ROW(A656),0)</f>
        <v>0</v>
      </c>
      <c r="B657" t="str">
        <f>IF(AND(A657&gt;0,A657&lt;='Output Report'!$H$71+1),B656+MC_hist!$M$11/'Output Report'!$H$71,"")</f>
        <v/>
      </c>
      <c r="C657" t="str">
        <f t="shared" si="30"/>
        <v/>
      </c>
      <c r="D657" s="45" t="str">
        <f>IF(A658&gt;0,C657/'Output Report'!$H$70,"")</f>
        <v/>
      </c>
      <c r="E657" s="46" t="str">
        <f>IF(A658&gt;0,SUM($D$2:D657),"")</f>
        <v/>
      </c>
      <c r="F657" t="str">
        <f t="shared" si="31"/>
        <v/>
      </c>
      <c r="G657" t="str">
        <f t="shared" si="32"/>
        <v/>
      </c>
    </row>
    <row r="658" spans="1:7" x14ac:dyDescent="0.3">
      <c r="A658">
        <f>IF('Output Report'!$H$71+2&gt;ROW(A657),ROW(A657),0)</f>
        <v>0</v>
      </c>
      <c r="B658" t="str">
        <f>IF(AND(A658&gt;0,A658&lt;='Output Report'!$H$71+1),B657+MC_hist!$M$11/'Output Report'!$H$71,"")</f>
        <v/>
      </c>
      <c r="C658" t="str">
        <f t="shared" si="30"/>
        <v/>
      </c>
      <c r="D658" s="45" t="str">
        <f>IF(A659&gt;0,C658/'Output Report'!$H$70,"")</f>
        <v/>
      </c>
      <c r="E658" s="46" t="str">
        <f>IF(A659&gt;0,SUM($D$2:D658),"")</f>
        <v/>
      </c>
      <c r="F658" t="str">
        <f t="shared" si="31"/>
        <v/>
      </c>
      <c r="G658" t="str">
        <f t="shared" si="32"/>
        <v/>
      </c>
    </row>
    <row r="659" spans="1:7" x14ac:dyDescent="0.3">
      <c r="A659">
        <f>IF('Output Report'!$H$71+2&gt;ROW(A658),ROW(A658),0)</f>
        <v>0</v>
      </c>
      <c r="B659" t="str">
        <f>IF(AND(A659&gt;0,A659&lt;='Output Report'!$H$71+1),B658+MC_hist!$M$11/'Output Report'!$H$71,"")</f>
        <v/>
      </c>
      <c r="C659" t="str">
        <f t="shared" si="30"/>
        <v/>
      </c>
      <c r="D659" s="45" t="str">
        <f>IF(A660&gt;0,C659/'Output Report'!$H$70,"")</f>
        <v/>
      </c>
      <c r="E659" s="46" t="str">
        <f>IF(A660&gt;0,SUM($D$2:D659),"")</f>
        <v/>
      </c>
      <c r="F659" t="str">
        <f t="shared" si="31"/>
        <v/>
      </c>
      <c r="G659" t="str">
        <f t="shared" si="32"/>
        <v/>
      </c>
    </row>
    <row r="660" spans="1:7" x14ac:dyDescent="0.3">
      <c r="A660">
        <f>IF('Output Report'!$H$71+2&gt;ROW(A659),ROW(A659),0)</f>
        <v>0</v>
      </c>
      <c r="B660" t="str">
        <f>IF(AND(A660&gt;0,A660&lt;='Output Report'!$H$71+1),B659+MC_hist!$M$11/'Output Report'!$H$71,"")</f>
        <v/>
      </c>
      <c r="C660" t="str">
        <f t="shared" si="30"/>
        <v/>
      </c>
      <c r="D660" s="45" t="str">
        <f>IF(A661&gt;0,C660/'Output Report'!$H$70,"")</f>
        <v/>
      </c>
      <c r="E660" s="46" t="str">
        <f>IF(A661&gt;0,SUM($D$2:D660),"")</f>
        <v/>
      </c>
      <c r="F660" t="str">
        <f t="shared" si="31"/>
        <v/>
      </c>
      <c r="G660" t="str">
        <f t="shared" si="32"/>
        <v/>
      </c>
    </row>
    <row r="661" spans="1:7" x14ac:dyDescent="0.3">
      <c r="A661">
        <f>IF('Output Report'!$H$71+2&gt;ROW(A660),ROW(A660),0)</f>
        <v>0</v>
      </c>
      <c r="B661" t="str">
        <f>IF(AND(A661&gt;0,A661&lt;='Output Report'!$H$71+1),B660+MC_hist!$M$11/'Output Report'!$H$71,"")</f>
        <v/>
      </c>
      <c r="C661" t="str">
        <f t="shared" si="30"/>
        <v/>
      </c>
      <c r="D661" s="45" t="str">
        <f>IF(A662&gt;0,C661/'Output Report'!$H$70,"")</f>
        <v/>
      </c>
      <c r="E661" s="46" t="str">
        <f>IF(A662&gt;0,SUM($D$2:D661),"")</f>
        <v/>
      </c>
      <c r="F661" t="str">
        <f t="shared" si="31"/>
        <v/>
      </c>
      <c r="G661" t="str">
        <f t="shared" si="32"/>
        <v/>
      </c>
    </row>
    <row r="662" spans="1:7" x14ac:dyDescent="0.3">
      <c r="A662">
        <f>IF('Output Report'!$H$71+2&gt;ROW(A661),ROW(A661),0)</f>
        <v>0</v>
      </c>
      <c r="B662" t="str">
        <f>IF(AND(A662&gt;0,A662&lt;='Output Report'!$H$71+1),B661+MC_hist!$M$11/'Output Report'!$H$71,"")</f>
        <v/>
      </c>
      <c r="C662" t="str">
        <f t="shared" si="30"/>
        <v/>
      </c>
      <c r="D662" s="45" t="str">
        <f>IF(A663&gt;0,C662/'Output Report'!$H$70,"")</f>
        <v/>
      </c>
      <c r="E662" s="46" t="str">
        <f>IF(A663&gt;0,SUM($D$2:D662),"")</f>
        <v/>
      </c>
      <c r="F662" t="str">
        <f t="shared" si="31"/>
        <v/>
      </c>
      <c r="G662" t="str">
        <f t="shared" si="32"/>
        <v/>
      </c>
    </row>
    <row r="663" spans="1:7" x14ac:dyDescent="0.3">
      <c r="A663">
        <f>IF('Output Report'!$H$71+2&gt;ROW(A662),ROW(A662),0)</f>
        <v>0</v>
      </c>
      <c r="B663" t="str">
        <f>IF(AND(A663&gt;0,A663&lt;='Output Report'!$H$71+1),B662+MC_hist!$M$11/'Output Report'!$H$71,"")</f>
        <v/>
      </c>
      <c r="C663" t="str">
        <f t="shared" si="30"/>
        <v/>
      </c>
      <c r="D663" s="45" t="str">
        <f>IF(A664&gt;0,C663/'Output Report'!$H$70,"")</f>
        <v/>
      </c>
      <c r="E663" s="46" t="str">
        <f>IF(A664&gt;0,SUM($D$2:D663),"")</f>
        <v/>
      </c>
      <c r="F663" t="str">
        <f t="shared" si="31"/>
        <v/>
      </c>
      <c r="G663" t="str">
        <f t="shared" si="32"/>
        <v/>
      </c>
    </row>
    <row r="664" spans="1:7" x14ac:dyDescent="0.3">
      <c r="A664">
        <f>IF('Output Report'!$H$71+2&gt;ROW(A663),ROW(A663),0)</f>
        <v>0</v>
      </c>
      <c r="B664" t="str">
        <f>IF(AND(A664&gt;0,A664&lt;='Output Report'!$H$71+1),B663+MC_hist!$M$11/'Output Report'!$H$71,"")</f>
        <v/>
      </c>
      <c r="C664" t="str">
        <f t="shared" si="30"/>
        <v/>
      </c>
      <c r="D664" s="45" t="str">
        <f>IF(A665&gt;0,C664/'Output Report'!$H$70,"")</f>
        <v/>
      </c>
      <c r="E664" s="46" t="str">
        <f>IF(A665&gt;0,SUM($D$2:D664),"")</f>
        <v/>
      </c>
      <c r="F664" t="str">
        <f t="shared" si="31"/>
        <v/>
      </c>
      <c r="G664" t="str">
        <f t="shared" si="32"/>
        <v/>
      </c>
    </row>
    <row r="665" spans="1:7" x14ac:dyDescent="0.3">
      <c r="A665">
        <f>IF('Output Report'!$H$71+2&gt;ROW(A664),ROW(A664),0)</f>
        <v>0</v>
      </c>
      <c r="B665" t="str">
        <f>IF(AND(A665&gt;0,A665&lt;='Output Report'!$H$71+1),B664+MC_hist!$M$11/'Output Report'!$H$71,"")</f>
        <v/>
      </c>
      <c r="C665" t="str">
        <f t="shared" si="30"/>
        <v/>
      </c>
      <c r="D665" s="45" t="str">
        <f>IF(A666&gt;0,C665/'Output Report'!$H$70,"")</f>
        <v/>
      </c>
      <c r="E665" s="46" t="str">
        <f>IF(A666&gt;0,SUM($D$2:D665),"")</f>
        <v/>
      </c>
      <c r="F665" t="str">
        <f t="shared" si="31"/>
        <v/>
      </c>
      <c r="G665" t="str">
        <f t="shared" si="32"/>
        <v/>
      </c>
    </row>
    <row r="666" spans="1:7" x14ac:dyDescent="0.3">
      <c r="A666">
        <f>IF('Output Report'!$H$71+2&gt;ROW(A665),ROW(A665),0)</f>
        <v>0</v>
      </c>
      <c r="B666" t="str">
        <f>IF(AND(A666&gt;0,A666&lt;='Output Report'!$H$71+1),B665+MC_hist!$M$11/'Output Report'!$H$71,"")</f>
        <v/>
      </c>
      <c r="C666" t="str">
        <f t="shared" si="30"/>
        <v/>
      </c>
      <c r="D666" s="45" t="str">
        <f>IF(A667&gt;0,C666/'Output Report'!$H$70,"")</f>
        <v/>
      </c>
      <c r="E666" s="46" t="str">
        <f>IF(A667&gt;0,SUM($D$2:D666),"")</f>
        <v/>
      </c>
      <c r="F666" t="str">
        <f t="shared" si="31"/>
        <v/>
      </c>
      <c r="G666" t="str">
        <f t="shared" si="32"/>
        <v/>
      </c>
    </row>
    <row r="667" spans="1:7" x14ac:dyDescent="0.3">
      <c r="A667">
        <f>IF('Output Report'!$H$71+2&gt;ROW(A666),ROW(A666),0)</f>
        <v>0</v>
      </c>
      <c r="B667" t="str">
        <f>IF(AND(A667&gt;0,A667&lt;='Output Report'!$H$71+1),B666+MC_hist!$M$11/'Output Report'!$H$71,"")</f>
        <v/>
      </c>
      <c r="C667" t="str">
        <f t="shared" si="30"/>
        <v/>
      </c>
      <c r="D667" s="45" t="str">
        <f>IF(A668&gt;0,C667/'Output Report'!$H$70,"")</f>
        <v/>
      </c>
      <c r="E667" s="46" t="str">
        <f>IF(A668&gt;0,SUM($D$2:D667),"")</f>
        <v/>
      </c>
      <c r="F667" t="str">
        <f t="shared" si="31"/>
        <v/>
      </c>
      <c r="G667" t="str">
        <f t="shared" si="32"/>
        <v/>
      </c>
    </row>
    <row r="668" spans="1:7" x14ac:dyDescent="0.3">
      <c r="A668">
        <f>IF('Output Report'!$H$71+2&gt;ROW(A667),ROW(A667),0)</f>
        <v>0</v>
      </c>
      <c r="B668" t="str">
        <f>IF(AND(A668&gt;0,A668&lt;='Output Report'!$H$71+1),B667+MC_hist!$M$11/'Output Report'!$H$71,"")</f>
        <v/>
      </c>
      <c r="C668" t="str">
        <f t="shared" si="30"/>
        <v/>
      </c>
      <c r="D668" s="45" t="str">
        <f>IF(A669&gt;0,C668/'Output Report'!$H$70,"")</f>
        <v/>
      </c>
      <c r="E668" s="46" t="str">
        <f>IF(A669&gt;0,SUM($D$2:D668),"")</f>
        <v/>
      </c>
      <c r="F668" t="str">
        <f t="shared" si="31"/>
        <v/>
      </c>
      <c r="G668" t="str">
        <f t="shared" si="32"/>
        <v/>
      </c>
    </row>
    <row r="669" spans="1:7" x14ac:dyDescent="0.3">
      <c r="A669">
        <f>IF('Output Report'!$H$71+2&gt;ROW(A668),ROW(A668),0)</f>
        <v>0</v>
      </c>
      <c r="B669" t="str">
        <f>IF(AND(A669&gt;0,A669&lt;='Output Report'!$H$71+1),B668+MC_hist!$M$11/'Output Report'!$H$71,"")</f>
        <v/>
      </c>
      <c r="C669" t="str">
        <f t="shared" si="30"/>
        <v/>
      </c>
      <c r="D669" s="45" t="str">
        <f>IF(A670&gt;0,C669/'Output Report'!$H$70,"")</f>
        <v/>
      </c>
      <c r="E669" s="46" t="str">
        <f>IF(A670&gt;0,SUM($D$2:D669),"")</f>
        <v/>
      </c>
      <c r="F669" t="str">
        <f t="shared" si="31"/>
        <v/>
      </c>
      <c r="G669" t="str">
        <f t="shared" si="32"/>
        <v/>
      </c>
    </row>
    <row r="670" spans="1:7" x14ac:dyDescent="0.3">
      <c r="A670">
        <f>IF('Output Report'!$H$71+2&gt;ROW(A669),ROW(A669),0)</f>
        <v>0</v>
      </c>
      <c r="B670" t="str">
        <f>IF(AND(A670&gt;0,A670&lt;='Output Report'!$H$71+1),B669+MC_hist!$M$11/'Output Report'!$H$71,"")</f>
        <v/>
      </c>
      <c r="C670" t="str">
        <f t="shared" si="30"/>
        <v/>
      </c>
      <c r="D670" s="45" t="str">
        <f>IF(A671&gt;0,C670/'Output Report'!$H$70,"")</f>
        <v/>
      </c>
      <c r="E670" s="46" t="str">
        <f>IF(A671&gt;0,SUM($D$2:D670),"")</f>
        <v/>
      </c>
      <c r="F670" t="str">
        <f t="shared" si="31"/>
        <v/>
      </c>
      <c r="G670" t="str">
        <f t="shared" si="32"/>
        <v/>
      </c>
    </row>
    <row r="671" spans="1:7" x14ac:dyDescent="0.3">
      <c r="A671">
        <f>IF('Output Report'!$H$71+2&gt;ROW(A670),ROW(A670),0)</f>
        <v>0</v>
      </c>
      <c r="B671" t="str">
        <f>IF(AND(A671&gt;0,A671&lt;='Output Report'!$H$71+1),B670+MC_hist!$M$11/'Output Report'!$H$71,"")</f>
        <v/>
      </c>
      <c r="C671" t="str">
        <f t="shared" si="30"/>
        <v/>
      </c>
      <c r="D671" s="45" t="str">
        <f>IF(A672&gt;0,C671/'Output Report'!$H$70,"")</f>
        <v/>
      </c>
      <c r="E671" s="46" t="str">
        <f>IF(A672&gt;0,SUM($D$2:D671),"")</f>
        <v/>
      </c>
      <c r="F671" t="str">
        <f t="shared" si="31"/>
        <v/>
      </c>
      <c r="G671" t="str">
        <f t="shared" si="32"/>
        <v/>
      </c>
    </row>
    <row r="672" spans="1:7" x14ac:dyDescent="0.3">
      <c r="A672">
        <f>IF('Output Report'!$H$71+2&gt;ROW(A671),ROW(A671),0)</f>
        <v>0</v>
      </c>
      <c r="B672" t="str">
        <f>IF(AND(A672&gt;0,A672&lt;='Output Report'!$H$71+1),B671+MC_hist!$M$11/'Output Report'!$H$71,"")</f>
        <v/>
      </c>
      <c r="C672" t="str">
        <f t="shared" si="30"/>
        <v/>
      </c>
      <c r="D672" s="45" t="str">
        <f>IF(A673&gt;0,C672/'Output Report'!$H$70,"")</f>
        <v/>
      </c>
      <c r="E672" s="46" t="str">
        <f>IF(A673&gt;0,SUM($D$2:D672),"")</f>
        <v/>
      </c>
      <c r="F672" t="str">
        <f t="shared" si="31"/>
        <v/>
      </c>
      <c r="G672" t="str">
        <f t="shared" si="32"/>
        <v/>
      </c>
    </row>
    <row r="673" spans="1:7" x14ac:dyDescent="0.3">
      <c r="A673">
        <f>IF('Output Report'!$H$71+2&gt;ROW(A672),ROW(A672),0)</f>
        <v>0</v>
      </c>
      <c r="B673" t="str">
        <f>IF(AND(A673&gt;0,A673&lt;='Output Report'!$H$71+1),B672+MC_hist!$M$11/'Output Report'!$H$71,"")</f>
        <v/>
      </c>
      <c r="C673" t="str">
        <f t="shared" si="30"/>
        <v/>
      </c>
      <c r="D673" s="45" t="str">
        <f>IF(A674&gt;0,C673/'Output Report'!$H$70,"")</f>
        <v/>
      </c>
      <c r="E673" s="46" t="str">
        <f>IF(A674&gt;0,SUM($D$2:D673),"")</f>
        <v/>
      </c>
      <c r="F673" t="str">
        <f t="shared" si="31"/>
        <v/>
      </c>
      <c r="G673" t="str">
        <f t="shared" si="32"/>
        <v/>
      </c>
    </row>
    <row r="674" spans="1:7" x14ac:dyDescent="0.3">
      <c r="A674">
        <f>IF('Output Report'!$H$71+2&gt;ROW(A673),ROW(A673),0)</f>
        <v>0</v>
      </c>
      <c r="B674" t="str">
        <f>IF(AND(A674&gt;0,A674&lt;='Output Report'!$H$71+1),B673+MC_hist!$M$11/'Output Report'!$H$71,"")</f>
        <v/>
      </c>
      <c r="C674" t="str">
        <f t="shared" si="30"/>
        <v/>
      </c>
      <c r="D674" s="45" t="str">
        <f>IF(A675&gt;0,C674/'Output Report'!$H$70,"")</f>
        <v/>
      </c>
      <c r="E674" s="46" t="str">
        <f>IF(A675&gt;0,SUM($D$2:D674),"")</f>
        <v/>
      </c>
      <c r="F674" t="str">
        <f t="shared" si="31"/>
        <v/>
      </c>
      <c r="G674" t="str">
        <f t="shared" si="32"/>
        <v/>
      </c>
    </row>
    <row r="675" spans="1:7" x14ac:dyDescent="0.3">
      <c r="A675">
        <f>IF('Output Report'!$H$71+2&gt;ROW(A674),ROW(A674),0)</f>
        <v>0</v>
      </c>
      <c r="B675" t="str">
        <f>IF(AND(A675&gt;0,A675&lt;='Output Report'!$H$71+1),B674+MC_hist!$M$11/'Output Report'!$H$71,"")</f>
        <v/>
      </c>
      <c r="C675" t="str">
        <f t="shared" si="30"/>
        <v/>
      </c>
      <c r="D675" s="45" t="str">
        <f>IF(A676&gt;0,C675/'Output Report'!$H$70,"")</f>
        <v/>
      </c>
      <c r="E675" s="46" t="str">
        <f>IF(A676&gt;0,SUM($D$2:D675),"")</f>
        <v/>
      </c>
      <c r="F675" t="str">
        <f t="shared" si="31"/>
        <v/>
      </c>
      <c r="G675" t="str">
        <f t="shared" si="32"/>
        <v/>
      </c>
    </row>
    <row r="676" spans="1:7" x14ac:dyDescent="0.3">
      <c r="A676">
        <f>IF('Output Report'!$H$71+2&gt;ROW(A675),ROW(A675),0)</f>
        <v>0</v>
      </c>
      <c r="B676" t="str">
        <f>IF(AND(A676&gt;0,A676&lt;='Output Report'!$H$71+1),B675+MC_hist!$M$11/'Output Report'!$H$71,"")</f>
        <v/>
      </c>
      <c r="C676" t="str">
        <f t="shared" si="30"/>
        <v/>
      </c>
      <c r="D676" s="45" t="str">
        <f>IF(A677&gt;0,C676/'Output Report'!$H$70,"")</f>
        <v/>
      </c>
      <c r="E676" s="46" t="str">
        <f>IF(A677&gt;0,SUM($D$2:D676),"")</f>
        <v/>
      </c>
      <c r="F676" t="str">
        <f t="shared" si="31"/>
        <v/>
      </c>
      <c r="G676" t="str">
        <f t="shared" si="32"/>
        <v/>
      </c>
    </row>
    <row r="677" spans="1:7" x14ac:dyDescent="0.3">
      <c r="A677">
        <f>IF('Output Report'!$H$71+2&gt;ROW(A676),ROW(A676),0)</f>
        <v>0</v>
      </c>
      <c r="B677" t="str">
        <f>IF(AND(A677&gt;0,A677&lt;='Output Report'!$H$71+1),B676+MC_hist!$M$11/'Output Report'!$H$71,"")</f>
        <v/>
      </c>
      <c r="C677" t="str">
        <f t="shared" si="30"/>
        <v/>
      </c>
      <c r="D677" s="45" t="str">
        <f>IF(A678&gt;0,C677/'Output Report'!$H$70,"")</f>
        <v/>
      </c>
      <c r="E677" s="46" t="str">
        <f>IF(A678&gt;0,SUM($D$2:D677),"")</f>
        <v/>
      </c>
      <c r="F677" t="str">
        <f t="shared" si="31"/>
        <v/>
      </c>
      <c r="G677" t="str">
        <f t="shared" si="32"/>
        <v/>
      </c>
    </row>
    <row r="678" spans="1:7" x14ac:dyDescent="0.3">
      <c r="A678">
        <f>IF('Output Report'!$H$71+2&gt;ROW(A677),ROW(A677),0)</f>
        <v>0</v>
      </c>
      <c r="B678" t="str">
        <f>IF(AND(A678&gt;0,A678&lt;='Output Report'!$H$71+1),B677+MC_hist!$M$11/'Output Report'!$H$71,"")</f>
        <v/>
      </c>
      <c r="C678" t="str">
        <f t="shared" si="30"/>
        <v/>
      </c>
      <c r="D678" s="45" t="str">
        <f>IF(A679&gt;0,C678/'Output Report'!$H$70,"")</f>
        <v/>
      </c>
      <c r="E678" s="46" t="str">
        <f>IF(A679&gt;0,SUM($D$2:D678),"")</f>
        <v/>
      </c>
      <c r="F678" t="str">
        <f t="shared" si="31"/>
        <v/>
      </c>
      <c r="G678" t="str">
        <f t="shared" si="32"/>
        <v/>
      </c>
    </row>
    <row r="679" spans="1:7" x14ac:dyDescent="0.3">
      <c r="A679">
        <f>IF('Output Report'!$H$71+2&gt;ROW(A678),ROW(A678),0)</f>
        <v>0</v>
      </c>
      <c r="B679" t="str">
        <f>IF(AND(A679&gt;0,A679&lt;='Output Report'!$H$71+1),B678+MC_hist!$M$11/'Output Report'!$H$71,"")</f>
        <v/>
      </c>
      <c r="C679" t="str">
        <f t="shared" si="30"/>
        <v/>
      </c>
      <c r="D679" s="45" t="str">
        <f>IF(A680&gt;0,C679/'Output Report'!$H$70,"")</f>
        <v/>
      </c>
      <c r="E679" s="46" t="str">
        <f>IF(A680&gt;0,SUM($D$2:D679),"")</f>
        <v/>
      </c>
      <c r="F679" t="str">
        <f t="shared" si="31"/>
        <v/>
      </c>
      <c r="G679" t="str">
        <f t="shared" si="32"/>
        <v/>
      </c>
    </row>
    <row r="680" spans="1:7" x14ac:dyDescent="0.3">
      <c r="A680">
        <f>IF('Output Report'!$H$71+2&gt;ROW(A679),ROW(A679),0)</f>
        <v>0</v>
      </c>
      <c r="B680" t="str">
        <f>IF(AND(A680&gt;0,A680&lt;='Output Report'!$H$71+1),B679+MC_hist!$M$11/'Output Report'!$H$71,"")</f>
        <v/>
      </c>
      <c r="C680" t="str">
        <f t="shared" si="30"/>
        <v/>
      </c>
      <c r="D680" s="45" t="str">
        <f>IF(A681&gt;0,C680/'Output Report'!$H$70,"")</f>
        <v/>
      </c>
      <c r="E680" s="46" t="str">
        <f>IF(A681&gt;0,SUM($D$2:D680),"")</f>
        <v/>
      </c>
      <c r="F680" t="str">
        <f t="shared" si="31"/>
        <v/>
      </c>
      <c r="G680" t="str">
        <f t="shared" si="32"/>
        <v/>
      </c>
    </row>
    <row r="681" spans="1:7" x14ac:dyDescent="0.3">
      <c r="A681">
        <f>IF('Output Report'!$H$71+2&gt;ROW(A680),ROW(A680),0)</f>
        <v>0</v>
      </c>
      <c r="B681" t="str">
        <f>IF(AND(A681&gt;0,A681&lt;='Output Report'!$H$71+1),B680+MC_hist!$M$11/'Output Report'!$H$71,"")</f>
        <v/>
      </c>
      <c r="C681" t="str">
        <f t="shared" si="30"/>
        <v/>
      </c>
      <c r="D681" s="45" t="str">
        <f>IF(A682&gt;0,C681/'Output Report'!$H$70,"")</f>
        <v/>
      </c>
      <c r="E681" s="46" t="str">
        <f>IF(A682&gt;0,SUM($D$2:D681),"")</f>
        <v/>
      </c>
      <c r="F681" t="str">
        <f t="shared" si="31"/>
        <v/>
      </c>
      <c r="G681" t="str">
        <f t="shared" si="32"/>
        <v/>
      </c>
    </row>
    <row r="682" spans="1:7" x14ac:dyDescent="0.3">
      <c r="A682">
        <f>IF('Output Report'!$H$71+2&gt;ROW(A681),ROW(A681),0)</f>
        <v>0</v>
      </c>
      <c r="B682" t="str">
        <f>IF(AND(A682&gt;0,A682&lt;='Output Report'!$H$71+1),B681+MC_hist!$M$11/'Output Report'!$H$71,"")</f>
        <v/>
      </c>
      <c r="C682" t="str">
        <f t="shared" si="30"/>
        <v/>
      </c>
      <c r="D682" s="45" t="str">
        <f>IF(A683&gt;0,C682/'Output Report'!$H$70,"")</f>
        <v/>
      </c>
      <c r="E682" s="46" t="str">
        <f>IF(A683&gt;0,SUM($D$2:D682),"")</f>
        <v/>
      </c>
      <c r="F682" t="str">
        <f t="shared" si="31"/>
        <v/>
      </c>
      <c r="G682" t="str">
        <f t="shared" si="32"/>
        <v/>
      </c>
    </row>
    <row r="683" spans="1:7" x14ac:dyDescent="0.3">
      <c r="A683">
        <f>IF('Output Report'!$H$71+2&gt;ROW(A682),ROW(A682),0)</f>
        <v>0</v>
      </c>
      <c r="B683" t="str">
        <f>IF(AND(A683&gt;0,A683&lt;='Output Report'!$H$71+1),B682+MC_hist!$M$11/'Output Report'!$H$71,"")</f>
        <v/>
      </c>
      <c r="C683" t="str">
        <f t="shared" si="30"/>
        <v/>
      </c>
      <c r="D683" s="45" t="str">
        <f>IF(A684&gt;0,C683/'Output Report'!$H$70,"")</f>
        <v/>
      </c>
      <c r="E683" s="46" t="str">
        <f>IF(A684&gt;0,SUM($D$2:D683),"")</f>
        <v/>
      </c>
      <c r="F683" t="str">
        <f t="shared" si="31"/>
        <v/>
      </c>
      <c r="G683" t="str">
        <f t="shared" si="32"/>
        <v/>
      </c>
    </row>
    <row r="684" spans="1:7" x14ac:dyDescent="0.3">
      <c r="A684">
        <f>IF('Output Report'!$H$71+2&gt;ROW(A683),ROW(A683),0)</f>
        <v>0</v>
      </c>
      <c r="B684" t="str">
        <f>IF(AND(A684&gt;0,A684&lt;='Output Report'!$H$71+1),B683+MC_hist!$M$11/'Output Report'!$H$71,"")</f>
        <v/>
      </c>
      <c r="C684" t="str">
        <f t="shared" si="30"/>
        <v/>
      </c>
      <c r="D684" s="45" t="str">
        <f>IF(A685&gt;0,C684/'Output Report'!$H$70,"")</f>
        <v/>
      </c>
      <c r="E684" s="46" t="str">
        <f>IF(A685&gt;0,SUM($D$2:D684),"")</f>
        <v/>
      </c>
      <c r="F684" t="str">
        <f t="shared" si="31"/>
        <v/>
      </c>
      <c r="G684" t="str">
        <f t="shared" si="32"/>
        <v/>
      </c>
    </row>
    <row r="685" spans="1:7" x14ac:dyDescent="0.3">
      <c r="A685">
        <f>IF('Output Report'!$H$71+2&gt;ROW(A684),ROW(A684),0)</f>
        <v>0</v>
      </c>
      <c r="B685" t="str">
        <f>IF(AND(A685&gt;0,A685&lt;='Output Report'!$H$71+1),B684+MC_hist!$M$11/'Output Report'!$H$71,"")</f>
        <v/>
      </c>
      <c r="C685" t="str">
        <f t="shared" si="30"/>
        <v/>
      </c>
      <c r="D685" s="45" t="str">
        <f>IF(A686&gt;0,C685/'Output Report'!$H$70,"")</f>
        <v/>
      </c>
      <c r="E685" s="46" t="str">
        <f>IF(A686&gt;0,SUM($D$2:D685),"")</f>
        <v/>
      </c>
      <c r="F685" t="str">
        <f t="shared" si="31"/>
        <v/>
      </c>
      <c r="G685" t="str">
        <f t="shared" si="32"/>
        <v/>
      </c>
    </row>
    <row r="686" spans="1:7" x14ac:dyDescent="0.3">
      <c r="A686">
        <f>IF('Output Report'!$H$71+2&gt;ROW(A685),ROW(A685),0)</f>
        <v>0</v>
      </c>
      <c r="B686" t="str">
        <f>IF(AND(A686&gt;0,A686&lt;='Output Report'!$H$71+1),B685+MC_hist!$M$11/'Output Report'!$H$71,"")</f>
        <v/>
      </c>
      <c r="C686" t="str">
        <f t="shared" ref="C686:C749" si="33">IF(A687&gt;0,COUNTIFS(data_sim,"&gt;"&amp;B686,data_sim,"&lt;="&amp;B687),"")</f>
        <v/>
      </c>
      <c r="D686" s="45" t="str">
        <f>IF(A687&gt;0,C686/'Output Report'!$H$70,"")</f>
        <v/>
      </c>
      <c r="E686" s="46" t="str">
        <f>IF(A687&gt;0,SUM($D$2:D686),"")</f>
        <v/>
      </c>
      <c r="F686" t="str">
        <f t="shared" ref="F686:F749" si="34">IF(B686&lt;=0,D686,"")</f>
        <v/>
      </c>
      <c r="G686" t="str">
        <f t="shared" si="32"/>
        <v/>
      </c>
    </row>
    <row r="687" spans="1:7" x14ac:dyDescent="0.3">
      <c r="A687">
        <f>IF('Output Report'!$H$71+2&gt;ROW(A686),ROW(A686),0)</f>
        <v>0</v>
      </c>
      <c r="B687" t="str">
        <f>IF(AND(A687&gt;0,A687&lt;='Output Report'!$H$71+1),B686+MC_hist!$M$11/'Output Report'!$H$71,"")</f>
        <v/>
      </c>
      <c r="C687" t="str">
        <f t="shared" si="33"/>
        <v/>
      </c>
      <c r="D687" s="45" t="str">
        <f>IF(A688&gt;0,C687/'Output Report'!$H$70,"")</f>
        <v/>
      </c>
      <c r="E687" s="46" t="str">
        <f>IF(A688&gt;0,SUM($D$2:D687),"")</f>
        <v/>
      </c>
      <c r="F687" t="str">
        <f t="shared" si="34"/>
        <v/>
      </c>
      <c r="G687" t="str">
        <f t="shared" si="32"/>
        <v/>
      </c>
    </row>
    <row r="688" spans="1:7" x14ac:dyDescent="0.3">
      <c r="A688">
        <f>IF('Output Report'!$H$71+2&gt;ROW(A687),ROW(A687),0)</f>
        <v>0</v>
      </c>
      <c r="B688" t="str">
        <f>IF(AND(A688&gt;0,A688&lt;='Output Report'!$H$71+1),B687+MC_hist!$M$11/'Output Report'!$H$71,"")</f>
        <v/>
      </c>
      <c r="C688" t="str">
        <f t="shared" si="33"/>
        <v/>
      </c>
      <c r="D688" s="45" t="str">
        <f>IF(A689&gt;0,C688/'Output Report'!$H$70,"")</f>
        <v/>
      </c>
      <c r="E688" s="46" t="str">
        <f>IF(A689&gt;0,SUM($D$2:D688),"")</f>
        <v/>
      </c>
      <c r="F688" t="str">
        <f t="shared" si="34"/>
        <v/>
      </c>
      <c r="G688" t="str">
        <f t="shared" si="32"/>
        <v/>
      </c>
    </row>
    <row r="689" spans="1:7" x14ac:dyDescent="0.3">
      <c r="A689">
        <f>IF('Output Report'!$H$71+2&gt;ROW(A688),ROW(A688),0)</f>
        <v>0</v>
      </c>
      <c r="B689" t="str">
        <f>IF(AND(A689&gt;0,A689&lt;='Output Report'!$H$71+1),B688+MC_hist!$M$11/'Output Report'!$H$71,"")</f>
        <v/>
      </c>
      <c r="C689" t="str">
        <f t="shared" si="33"/>
        <v/>
      </c>
      <c r="D689" s="45" t="str">
        <f>IF(A690&gt;0,C689/'Output Report'!$H$70,"")</f>
        <v/>
      </c>
      <c r="E689" s="46" t="str">
        <f>IF(A690&gt;0,SUM($D$2:D689),"")</f>
        <v/>
      </c>
      <c r="F689" t="str">
        <f t="shared" si="34"/>
        <v/>
      </c>
      <c r="G689" t="str">
        <f t="shared" si="32"/>
        <v/>
      </c>
    </row>
    <row r="690" spans="1:7" x14ac:dyDescent="0.3">
      <c r="A690">
        <f>IF('Output Report'!$H$71+2&gt;ROW(A689),ROW(A689),0)</f>
        <v>0</v>
      </c>
      <c r="B690" t="str">
        <f>IF(AND(A690&gt;0,A690&lt;='Output Report'!$H$71+1),B689+MC_hist!$M$11/'Output Report'!$H$71,"")</f>
        <v/>
      </c>
      <c r="C690" t="str">
        <f t="shared" si="33"/>
        <v/>
      </c>
      <c r="D690" s="45" t="str">
        <f>IF(A691&gt;0,C690/'Output Report'!$H$70,"")</f>
        <v/>
      </c>
      <c r="E690" s="46" t="str">
        <f>IF(A691&gt;0,SUM($D$2:D690),"")</f>
        <v/>
      </c>
      <c r="F690" t="str">
        <f t="shared" si="34"/>
        <v/>
      </c>
      <c r="G690" t="str">
        <f t="shared" si="32"/>
        <v/>
      </c>
    </row>
    <row r="691" spans="1:7" x14ac:dyDescent="0.3">
      <c r="A691">
        <f>IF('Output Report'!$H$71+2&gt;ROW(A690),ROW(A690),0)</f>
        <v>0</v>
      </c>
      <c r="B691" t="str">
        <f>IF(AND(A691&gt;0,A691&lt;='Output Report'!$H$71+1),B690+MC_hist!$M$11/'Output Report'!$H$71,"")</f>
        <v/>
      </c>
      <c r="C691" t="str">
        <f t="shared" si="33"/>
        <v/>
      </c>
      <c r="D691" s="45" t="str">
        <f>IF(A692&gt;0,C691/'Output Report'!$H$70,"")</f>
        <v/>
      </c>
      <c r="E691" s="46" t="str">
        <f>IF(A692&gt;0,SUM($D$2:D691),"")</f>
        <v/>
      </c>
      <c r="F691" t="str">
        <f t="shared" si="34"/>
        <v/>
      </c>
      <c r="G691" t="str">
        <f t="shared" si="32"/>
        <v/>
      </c>
    </row>
    <row r="692" spans="1:7" x14ac:dyDescent="0.3">
      <c r="A692">
        <f>IF('Output Report'!$H$71+2&gt;ROW(A691),ROW(A691),0)</f>
        <v>0</v>
      </c>
      <c r="B692" t="str">
        <f>IF(AND(A692&gt;0,A692&lt;='Output Report'!$H$71+1),B691+MC_hist!$M$11/'Output Report'!$H$71,"")</f>
        <v/>
      </c>
      <c r="C692" t="str">
        <f t="shared" si="33"/>
        <v/>
      </c>
      <c r="D692" s="45" t="str">
        <f>IF(A693&gt;0,C692/'Output Report'!$H$70,"")</f>
        <v/>
      </c>
      <c r="E692" s="46" t="str">
        <f>IF(A693&gt;0,SUM($D$2:D692),"")</f>
        <v/>
      </c>
      <c r="F692" t="str">
        <f t="shared" si="34"/>
        <v/>
      </c>
      <c r="G692" t="str">
        <f t="shared" si="32"/>
        <v/>
      </c>
    </row>
    <row r="693" spans="1:7" x14ac:dyDescent="0.3">
      <c r="A693">
        <f>IF('Output Report'!$H$71+2&gt;ROW(A692),ROW(A692),0)</f>
        <v>0</v>
      </c>
      <c r="B693" t="str">
        <f>IF(AND(A693&gt;0,A693&lt;='Output Report'!$H$71+1),B692+MC_hist!$M$11/'Output Report'!$H$71,"")</f>
        <v/>
      </c>
      <c r="C693" t="str">
        <f t="shared" si="33"/>
        <v/>
      </c>
      <c r="D693" s="45" t="str">
        <f>IF(A694&gt;0,C693/'Output Report'!$H$70,"")</f>
        <v/>
      </c>
      <c r="E693" s="46" t="str">
        <f>IF(A694&gt;0,SUM($D$2:D693),"")</f>
        <v/>
      </c>
      <c r="F693" t="str">
        <f t="shared" si="34"/>
        <v/>
      </c>
      <c r="G693" t="str">
        <f t="shared" si="32"/>
        <v/>
      </c>
    </row>
    <row r="694" spans="1:7" x14ac:dyDescent="0.3">
      <c r="A694">
        <f>IF('Output Report'!$H$71+2&gt;ROW(A693),ROW(A693),0)</f>
        <v>0</v>
      </c>
      <c r="B694" t="str">
        <f>IF(AND(A694&gt;0,A694&lt;='Output Report'!$H$71+1),B693+MC_hist!$M$11/'Output Report'!$H$71,"")</f>
        <v/>
      </c>
      <c r="C694" t="str">
        <f t="shared" si="33"/>
        <v/>
      </c>
      <c r="D694" s="45" t="str">
        <f>IF(A695&gt;0,C694/'Output Report'!$H$70,"")</f>
        <v/>
      </c>
      <c r="E694" s="46" t="str">
        <f>IF(A695&gt;0,SUM($D$2:D694),"")</f>
        <v/>
      </c>
      <c r="F694" t="str">
        <f t="shared" si="34"/>
        <v/>
      </c>
      <c r="G694" t="str">
        <f t="shared" si="32"/>
        <v/>
      </c>
    </row>
    <row r="695" spans="1:7" x14ac:dyDescent="0.3">
      <c r="A695">
        <f>IF('Output Report'!$H$71+2&gt;ROW(A694),ROW(A694),0)</f>
        <v>0</v>
      </c>
      <c r="B695" t="str">
        <f>IF(AND(A695&gt;0,A695&lt;='Output Report'!$H$71+1),B694+MC_hist!$M$11/'Output Report'!$H$71,"")</f>
        <v/>
      </c>
      <c r="C695" t="str">
        <f t="shared" si="33"/>
        <v/>
      </c>
      <c r="D695" s="45" t="str">
        <f>IF(A696&gt;0,C695/'Output Report'!$H$70,"")</f>
        <v/>
      </c>
      <c r="E695" s="46" t="str">
        <f>IF(A696&gt;0,SUM($D$2:D695),"")</f>
        <v/>
      </c>
      <c r="F695" t="str">
        <f t="shared" si="34"/>
        <v/>
      </c>
      <c r="G695" t="str">
        <f t="shared" si="32"/>
        <v/>
      </c>
    </row>
    <row r="696" spans="1:7" x14ac:dyDescent="0.3">
      <c r="A696">
        <f>IF('Output Report'!$H$71+2&gt;ROW(A695),ROW(A695),0)</f>
        <v>0</v>
      </c>
      <c r="B696" t="str">
        <f>IF(AND(A696&gt;0,A696&lt;='Output Report'!$H$71+1),B695+MC_hist!$M$11/'Output Report'!$H$71,"")</f>
        <v/>
      </c>
      <c r="C696" t="str">
        <f t="shared" si="33"/>
        <v/>
      </c>
      <c r="D696" s="45" t="str">
        <f>IF(A697&gt;0,C696/'Output Report'!$H$70,"")</f>
        <v/>
      </c>
      <c r="E696" s="46" t="str">
        <f>IF(A697&gt;0,SUM($D$2:D696),"")</f>
        <v/>
      </c>
      <c r="F696" t="str">
        <f t="shared" si="34"/>
        <v/>
      </c>
      <c r="G696" t="str">
        <f t="shared" si="32"/>
        <v/>
      </c>
    </row>
    <row r="697" spans="1:7" x14ac:dyDescent="0.3">
      <c r="A697">
        <f>IF('Output Report'!$H$71+2&gt;ROW(A696),ROW(A696),0)</f>
        <v>0</v>
      </c>
      <c r="B697" t="str">
        <f>IF(AND(A697&gt;0,A697&lt;='Output Report'!$H$71+1),B696+MC_hist!$M$11/'Output Report'!$H$71,"")</f>
        <v/>
      </c>
      <c r="C697" t="str">
        <f t="shared" si="33"/>
        <v/>
      </c>
      <c r="D697" s="45" t="str">
        <f>IF(A698&gt;0,C697/'Output Report'!$H$70,"")</f>
        <v/>
      </c>
      <c r="E697" s="46" t="str">
        <f>IF(A698&gt;0,SUM($D$2:D697),"")</f>
        <v/>
      </c>
      <c r="F697" t="str">
        <f t="shared" si="34"/>
        <v/>
      </c>
      <c r="G697" t="str">
        <f t="shared" si="32"/>
        <v/>
      </c>
    </row>
    <row r="698" spans="1:7" x14ac:dyDescent="0.3">
      <c r="A698">
        <f>IF('Output Report'!$H$71+2&gt;ROW(A697),ROW(A697),0)</f>
        <v>0</v>
      </c>
      <c r="B698" t="str">
        <f>IF(AND(A698&gt;0,A698&lt;='Output Report'!$H$71+1),B697+MC_hist!$M$11/'Output Report'!$H$71,"")</f>
        <v/>
      </c>
      <c r="C698" t="str">
        <f t="shared" si="33"/>
        <v/>
      </c>
      <c r="D698" s="45" t="str">
        <f>IF(A699&gt;0,C698/'Output Report'!$H$70,"")</f>
        <v/>
      </c>
      <c r="E698" s="46" t="str">
        <f>IF(A699&gt;0,SUM($D$2:D698),"")</f>
        <v/>
      </c>
      <c r="F698" t="str">
        <f t="shared" si="34"/>
        <v/>
      </c>
      <c r="G698" t="str">
        <f t="shared" si="32"/>
        <v/>
      </c>
    </row>
    <row r="699" spans="1:7" x14ac:dyDescent="0.3">
      <c r="A699">
        <f>IF('Output Report'!$H$71+2&gt;ROW(A698),ROW(A698),0)</f>
        <v>0</v>
      </c>
      <c r="B699" t="str">
        <f>IF(AND(A699&gt;0,A699&lt;='Output Report'!$H$71+1),B698+MC_hist!$M$11/'Output Report'!$H$71,"")</f>
        <v/>
      </c>
      <c r="C699" t="str">
        <f t="shared" si="33"/>
        <v/>
      </c>
      <c r="D699" s="45" t="str">
        <f>IF(A700&gt;0,C699/'Output Report'!$H$70,"")</f>
        <v/>
      </c>
      <c r="E699" s="46" t="str">
        <f>IF(A700&gt;0,SUM($D$2:D699),"")</f>
        <v/>
      </c>
      <c r="F699" t="str">
        <f t="shared" si="34"/>
        <v/>
      </c>
      <c r="G699" t="str">
        <f t="shared" si="32"/>
        <v/>
      </c>
    </row>
    <row r="700" spans="1:7" x14ac:dyDescent="0.3">
      <c r="A700">
        <f>IF('Output Report'!$H$71+2&gt;ROW(A699),ROW(A699),0)</f>
        <v>0</v>
      </c>
      <c r="B700" t="str">
        <f>IF(AND(A700&gt;0,A700&lt;='Output Report'!$H$71+1),B699+MC_hist!$M$11/'Output Report'!$H$71,"")</f>
        <v/>
      </c>
      <c r="C700" t="str">
        <f t="shared" si="33"/>
        <v/>
      </c>
      <c r="D700" s="45" t="str">
        <f>IF(A701&gt;0,C700/'Output Report'!$H$70,"")</f>
        <v/>
      </c>
      <c r="E700" s="46" t="str">
        <f>IF(A701&gt;0,SUM($D$2:D700),"")</f>
        <v/>
      </c>
      <c r="F700" t="str">
        <f t="shared" si="34"/>
        <v/>
      </c>
      <c r="G700" t="str">
        <f t="shared" si="32"/>
        <v/>
      </c>
    </row>
    <row r="701" spans="1:7" x14ac:dyDescent="0.3">
      <c r="A701">
        <f>IF('Output Report'!$H$71+2&gt;ROW(A700),ROW(A700),0)</f>
        <v>0</v>
      </c>
      <c r="B701" t="str">
        <f>IF(AND(A701&gt;0,A701&lt;='Output Report'!$H$71+1),B700+MC_hist!$M$11/'Output Report'!$H$71,"")</f>
        <v/>
      </c>
      <c r="C701" t="str">
        <f t="shared" si="33"/>
        <v/>
      </c>
      <c r="D701" s="45" t="str">
        <f>IF(A702&gt;0,C701/'Output Report'!$H$70,"")</f>
        <v/>
      </c>
      <c r="E701" s="46" t="str">
        <f>IF(A702&gt;0,SUM($D$2:D701),"")</f>
        <v/>
      </c>
      <c r="F701" t="str">
        <f t="shared" si="34"/>
        <v/>
      </c>
      <c r="G701" t="str">
        <f t="shared" si="32"/>
        <v/>
      </c>
    </row>
    <row r="702" spans="1:7" x14ac:dyDescent="0.3">
      <c r="A702">
        <f>IF('Output Report'!$H$71+2&gt;ROW(A701),ROW(A701),0)</f>
        <v>0</v>
      </c>
      <c r="B702" t="str">
        <f>IF(AND(A702&gt;0,A702&lt;='Output Report'!$H$71+1),B701+MC_hist!$M$11/'Output Report'!$H$71,"")</f>
        <v/>
      </c>
      <c r="C702" t="str">
        <f t="shared" si="33"/>
        <v/>
      </c>
      <c r="D702" s="45" t="str">
        <f>IF(A703&gt;0,C702/'Output Report'!$H$70,"")</f>
        <v/>
      </c>
      <c r="E702" s="46" t="str">
        <f>IF(A703&gt;0,SUM($D$2:D702),"")</f>
        <v/>
      </c>
      <c r="F702" t="str">
        <f t="shared" si="34"/>
        <v/>
      </c>
      <c r="G702" t="str">
        <f t="shared" si="32"/>
        <v/>
      </c>
    </row>
    <row r="703" spans="1:7" x14ac:dyDescent="0.3">
      <c r="A703">
        <f>IF('Output Report'!$H$71+2&gt;ROW(A702),ROW(A702),0)</f>
        <v>0</v>
      </c>
      <c r="B703" t="str">
        <f>IF(AND(A703&gt;0,A703&lt;='Output Report'!$H$71+1),B702+MC_hist!$M$11/'Output Report'!$H$71,"")</f>
        <v/>
      </c>
      <c r="C703" t="str">
        <f t="shared" si="33"/>
        <v/>
      </c>
      <c r="D703" s="45" t="str">
        <f>IF(A704&gt;0,C703/'Output Report'!$H$70,"")</f>
        <v/>
      </c>
      <c r="E703" s="46" t="str">
        <f>IF(A704&gt;0,SUM($D$2:D703),"")</f>
        <v/>
      </c>
      <c r="F703" t="str">
        <f t="shared" si="34"/>
        <v/>
      </c>
      <c r="G703" t="str">
        <f t="shared" si="32"/>
        <v/>
      </c>
    </row>
    <row r="704" spans="1:7" x14ac:dyDescent="0.3">
      <c r="A704">
        <f>IF('Output Report'!$H$71+2&gt;ROW(A703),ROW(A703),0)</f>
        <v>0</v>
      </c>
      <c r="B704" t="str">
        <f>IF(AND(A704&gt;0,A704&lt;='Output Report'!$H$71+1),B703+MC_hist!$M$11/'Output Report'!$H$71,"")</f>
        <v/>
      </c>
      <c r="C704" t="str">
        <f t="shared" si="33"/>
        <v/>
      </c>
      <c r="D704" s="45" t="str">
        <f>IF(A705&gt;0,C704/'Output Report'!$H$70,"")</f>
        <v/>
      </c>
      <c r="E704" s="46" t="str">
        <f>IF(A705&gt;0,SUM($D$2:D704),"")</f>
        <v/>
      </c>
      <c r="F704" t="str">
        <f t="shared" si="34"/>
        <v/>
      </c>
      <c r="G704" t="str">
        <f t="shared" si="32"/>
        <v/>
      </c>
    </row>
    <row r="705" spans="1:7" x14ac:dyDescent="0.3">
      <c r="A705">
        <f>IF('Output Report'!$H$71+2&gt;ROW(A704),ROW(A704),0)</f>
        <v>0</v>
      </c>
      <c r="B705" t="str">
        <f>IF(AND(A705&gt;0,A705&lt;='Output Report'!$H$71+1),B704+MC_hist!$M$11/'Output Report'!$H$71,"")</f>
        <v/>
      </c>
      <c r="C705" t="str">
        <f t="shared" si="33"/>
        <v/>
      </c>
      <c r="D705" s="45" t="str">
        <f>IF(A706&gt;0,C705/'Output Report'!$H$70,"")</f>
        <v/>
      </c>
      <c r="E705" s="46" t="str">
        <f>IF(A706&gt;0,SUM($D$2:D705),"")</f>
        <v/>
      </c>
      <c r="F705" t="str">
        <f t="shared" si="34"/>
        <v/>
      </c>
      <c r="G705" t="str">
        <f t="shared" si="32"/>
        <v/>
      </c>
    </row>
    <row r="706" spans="1:7" x14ac:dyDescent="0.3">
      <c r="A706">
        <f>IF('Output Report'!$H$71+2&gt;ROW(A705),ROW(A705),0)</f>
        <v>0</v>
      </c>
      <c r="B706" t="str">
        <f>IF(AND(A706&gt;0,A706&lt;='Output Report'!$H$71+1),B705+MC_hist!$M$11/'Output Report'!$H$71,"")</f>
        <v/>
      </c>
      <c r="C706" t="str">
        <f t="shared" si="33"/>
        <v/>
      </c>
      <c r="D706" s="45" t="str">
        <f>IF(A707&gt;0,C706/'Output Report'!$H$70,"")</f>
        <v/>
      </c>
      <c r="E706" s="46" t="str">
        <f>IF(A707&gt;0,SUM($D$2:D706),"")</f>
        <v/>
      </c>
      <c r="F706" t="str">
        <f t="shared" si="34"/>
        <v/>
      </c>
      <c r="G706" t="str">
        <f t="shared" si="32"/>
        <v/>
      </c>
    </row>
    <row r="707" spans="1:7" x14ac:dyDescent="0.3">
      <c r="A707">
        <f>IF('Output Report'!$H$71+2&gt;ROW(A706),ROW(A706),0)</f>
        <v>0</v>
      </c>
      <c r="B707" t="str">
        <f>IF(AND(A707&gt;0,A707&lt;='Output Report'!$H$71+1),B706+MC_hist!$M$11/'Output Report'!$H$71,"")</f>
        <v/>
      </c>
      <c r="C707" t="str">
        <f t="shared" si="33"/>
        <v/>
      </c>
      <c r="D707" s="45" t="str">
        <f>IF(A708&gt;0,C707/'Output Report'!$H$70,"")</f>
        <v/>
      </c>
      <c r="E707" s="46" t="str">
        <f>IF(A708&gt;0,SUM($D$2:D707),"")</f>
        <v/>
      </c>
      <c r="F707" t="str">
        <f t="shared" si="34"/>
        <v/>
      </c>
      <c r="G707" t="str">
        <f t="shared" ref="G707:G770" si="35">IF(B707&lt;=0,E707,"")</f>
        <v/>
      </c>
    </row>
    <row r="708" spans="1:7" x14ac:dyDescent="0.3">
      <c r="A708">
        <f>IF('Output Report'!$H$71+2&gt;ROW(A707),ROW(A707),0)</f>
        <v>0</v>
      </c>
      <c r="B708" t="str">
        <f>IF(AND(A708&gt;0,A708&lt;='Output Report'!$H$71+1),B707+MC_hist!$M$11/'Output Report'!$H$71,"")</f>
        <v/>
      </c>
      <c r="C708" t="str">
        <f t="shared" si="33"/>
        <v/>
      </c>
      <c r="D708" s="45" t="str">
        <f>IF(A709&gt;0,C708/'Output Report'!$H$70,"")</f>
        <v/>
      </c>
      <c r="E708" s="46" t="str">
        <f>IF(A709&gt;0,SUM($D$2:D708),"")</f>
        <v/>
      </c>
      <c r="F708" t="str">
        <f t="shared" si="34"/>
        <v/>
      </c>
      <c r="G708" t="str">
        <f t="shared" si="35"/>
        <v/>
      </c>
    </row>
    <row r="709" spans="1:7" x14ac:dyDescent="0.3">
      <c r="A709">
        <f>IF('Output Report'!$H$71+2&gt;ROW(A708),ROW(A708),0)</f>
        <v>0</v>
      </c>
      <c r="B709" t="str">
        <f>IF(AND(A709&gt;0,A709&lt;='Output Report'!$H$71+1),B708+MC_hist!$M$11/'Output Report'!$H$71,"")</f>
        <v/>
      </c>
      <c r="C709" t="str">
        <f t="shared" si="33"/>
        <v/>
      </c>
      <c r="D709" s="45" t="str">
        <f>IF(A710&gt;0,C709/'Output Report'!$H$70,"")</f>
        <v/>
      </c>
      <c r="E709" s="46" t="str">
        <f>IF(A710&gt;0,SUM($D$2:D709),"")</f>
        <v/>
      </c>
      <c r="F709" t="str">
        <f t="shared" si="34"/>
        <v/>
      </c>
      <c r="G709" t="str">
        <f t="shared" si="35"/>
        <v/>
      </c>
    </row>
    <row r="710" spans="1:7" x14ac:dyDescent="0.3">
      <c r="A710">
        <f>IF('Output Report'!$H$71+2&gt;ROW(A709),ROW(A709),0)</f>
        <v>0</v>
      </c>
      <c r="B710" t="str">
        <f>IF(AND(A710&gt;0,A710&lt;='Output Report'!$H$71+1),B709+MC_hist!$M$11/'Output Report'!$H$71,"")</f>
        <v/>
      </c>
      <c r="C710" t="str">
        <f t="shared" si="33"/>
        <v/>
      </c>
      <c r="D710" s="45" t="str">
        <f>IF(A711&gt;0,C710/'Output Report'!$H$70,"")</f>
        <v/>
      </c>
      <c r="E710" s="46" t="str">
        <f>IF(A711&gt;0,SUM($D$2:D710),"")</f>
        <v/>
      </c>
      <c r="F710" t="str">
        <f t="shared" si="34"/>
        <v/>
      </c>
      <c r="G710" t="str">
        <f t="shared" si="35"/>
        <v/>
      </c>
    </row>
    <row r="711" spans="1:7" x14ac:dyDescent="0.3">
      <c r="A711">
        <f>IF('Output Report'!$H$71+2&gt;ROW(A710),ROW(A710),0)</f>
        <v>0</v>
      </c>
      <c r="B711" t="str">
        <f>IF(AND(A711&gt;0,A711&lt;='Output Report'!$H$71+1),B710+MC_hist!$M$11/'Output Report'!$H$71,"")</f>
        <v/>
      </c>
      <c r="C711" t="str">
        <f t="shared" si="33"/>
        <v/>
      </c>
      <c r="D711" s="45" t="str">
        <f>IF(A712&gt;0,C711/'Output Report'!$H$70,"")</f>
        <v/>
      </c>
      <c r="E711" s="46" t="str">
        <f>IF(A712&gt;0,SUM($D$2:D711),"")</f>
        <v/>
      </c>
      <c r="F711" t="str">
        <f t="shared" si="34"/>
        <v/>
      </c>
      <c r="G711" t="str">
        <f t="shared" si="35"/>
        <v/>
      </c>
    </row>
    <row r="712" spans="1:7" x14ac:dyDescent="0.3">
      <c r="A712">
        <f>IF('Output Report'!$H$71+2&gt;ROW(A711),ROW(A711),0)</f>
        <v>0</v>
      </c>
      <c r="B712" t="str">
        <f>IF(AND(A712&gt;0,A712&lt;='Output Report'!$H$71+1),B711+MC_hist!$M$11/'Output Report'!$H$71,"")</f>
        <v/>
      </c>
      <c r="C712" t="str">
        <f t="shared" si="33"/>
        <v/>
      </c>
      <c r="D712" s="45" t="str">
        <f>IF(A713&gt;0,C712/'Output Report'!$H$70,"")</f>
        <v/>
      </c>
      <c r="E712" s="46" t="str">
        <f>IF(A713&gt;0,SUM($D$2:D712),"")</f>
        <v/>
      </c>
      <c r="F712" t="str">
        <f t="shared" si="34"/>
        <v/>
      </c>
      <c r="G712" t="str">
        <f t="shared" si="35"/>
        <v/>
      </c>
    </row>
    <row r="713" spans="1:7" x14ac:dyDescent="0.3">
      <c r="A713">
        <f>IF('Output Report'!$H$71+2&gt;ROW(A712),ROW(A712),0)</f>
        <v>0</v>
      </c>
      <c r="B713" t="str">
        <f>IF(AND(A713&gt;0,A713&lt;='Output Report'!$H$71+1),B712+MC_hist!$M$11/'Output Report'!$H$71,"")</f>
        <v/>
      </c>
      <c r="C713" t="str">
        <f t="shared" si="33"/>
        <v/>
      </c>
      <c r="D713" s="45" t="str">
        <f>IF(A714&gt;0,C713/'Output Report'!$H$70,"")</f>
        <v/>
      </c>
      <c r="E713" s="46" t="str">
        <f>IF(A714&gt;0,SUM($D$2:D713),"")</f>
        <v/>
      </c>
      <c r="F713" t="str">
        <f t="shared" si="34"/>
        <v/>
      </c>
      <c r="G713" t="str">
        <f t="shared" si="35"/>
        <v/>
      </c>
    </row>
    <row r="714" spans="1:7" x14ac:dyDescent="0.3">
      <c r="A714">
        <f>IF('Output Report'!$H$71+2&gt;ROW(A713),ROW(A713),0)</f>
        <v>0</v>
      </c>
      <c r="B714" t="str">
        <f>IF(AND(A714&gt;0,A714&lt;='Output Report'!$H$71+1),B713+MC_hist!$M$11/'Output Report'!$H$71,"")</f>
        <v/>
      </c>
      <c r="C714" t="str">
        <f t="shared" si="33"/>
        <v/>
      </c>
      <c r="D714" s="45" t="str">
        <f>IF(A715&gt;0,C714/'Output Report'!$H$70,"")</f>
        <v/>
      </c>
      <c r="E714" s="46" t="str">
        <f>IF(A715&gt;0,SUM($D$2:D714),"")</f>
        <v/>
      </c>
      <c r="F714" t="str">
        <f t="shared" si="34"/>
        <v/>
      </c>
      <c r="G714" t="str">
        <f t="shared" si="35"/>
        <v/>
      </c>
    </row>
    <row r="715" spans="1:7" x14ac:dyDescent="0.3">
      <c r="A715">
        <f>IF('Output Report'!$H$71+2&gt;ROW(A714),ROW(A714),0)</f>
        <v>0</v>
      </c>
      <c r="B715" t="str">
        <f>IF(AND(A715&gt;0,A715&lt;='Output Report'!$H$71+1),B714+MC_hist!$M$11/'Output Report'!$H$71,"")</f>
        <v/>
      </c>
      <c r="C715" t="str">
        <f t="shared" si="33"/>
        <v/>
      </c>
      <c r="D715" s="45" t="str">
        <f>IF(A716&gt;0,C715/'Output Report'!$H$70,"")</f>
        <v/>
      </c>
      <c r="E715" s="46" t="str">
        <f>IF(A716&gt;0,SUM($D$2:D715),"")</f>
        <v/>
      </c>
      <c r="F715" t="str">
        <f t="shared" si="34"/>
        <v/>
      </c>
      <c r="G715" t="str">
        <f t="shared" si="35"/>
        <v/>
      </c>
    </row>
    <row r="716" spans="1:7" x14ac:dyDescent="0.3">
      <c r="A716">
        <f>IF('Output Report'!$H$71+2&gt;ROW(A715),ROW(A715),0)</f>
        <v>0</v>
      </c>
      <c r="B716" t="str">
        <f>IF(AND(A716&gt;0,A716&lt;='Output Report'!$H$71+1),B715+MC_hist!$M$11/'Output Report'!$H$71,"")</f>
        <v/>
      </c>
      <c r="C716" t="str">
        <f t="shared" si="33"/>
        <v/>
      </c>
      <c r="D716" s="45" t="str">
        <f>IF(A717&gt;0,C716/'Output Report'!$H$70,"")</f>
        <v/>
      </c>
      <c r="E716" s="46" t="str">
        <f>IF(A717&gt;0,SUM($D$2:D716),"")</f>
        <v/>
      </c>
      <c r="F716" t="str">
        <f t="shared" si="34"/>
        <v/>
      </c>
      <c r="G716" t="str">
        <f t="shared" si="35"/>
        <v/>
      </c>
    </row>
    <row r="717" spans="1:7" x14ac:dyDescent="0.3">
      <c r="A717">
        <f>IF('Output Report'!$H$71+2&gt;ROW(A716),ROW(A716),0)</f>
        <v>0</v>
      </c>
      <c r="B717" t="str">
        <f>IF(AND(A717&gt;0,A717&lt;='Output Report'!$H$71+1),B716+MC_hist!$M$11/'Output Report'!$H$71,"")</f>
        <v/>
      </c>
      <c r="C717" t="str">
        <f t="shared" si="33"/>
        <v/>
      </c>
      <c r="D717" s="45" t="str">
        <f>IF(A718&gt;0,C717/'Output Report'!$H$70,"")</f>
        <v/>
      </c>
      <c r="E717" s="46" t="str">
        <f>IF(A718&gt;0,SUM($D$2:D717),"")</f>
        <v/>
      </c>
      <c r="F717" t="str">
        <f t="shared" si="34"/>
        <v/>
      </c>
      <c r="G717" t="str">
        <f t="shared" si="35"/>
        <v/>
      </c>
    </row>
    <row r="718" spans="1:7" x14ac:dyDescent="0.3">
      <c r="A718">
        <f>IF('Output Report'!$H$71+2&gt;ROW(A717),ROW(A717),0)</f>
        <v>0</v>
      </c>
      <c r="B718" t="str">
        <f>IF(AND(A718&gt;0,A718&lt;='Output Report'!$H$71+1),B717+MC_hist!$M$11/'Output Report'!$H$71,"")</f>
        <v/>
      </c>
      <c r="C718" t="str">
        <f t="shared" si="33"/>
        <v/>
      </c>
      <c r="D718" s="45" t="str">
        <f>IF(A719&gt;0,C718/'Output Report'!$H$70,"")</f>
        <v/>
      </c>
      <c r="E718" s="46" t="str">
        <f>IF(A719&gt;0,SUM($D$2:D718),"")</f>
        <v/>
      </c>
      <c r="F718" t="str">
        <f t="shared" si="34"/>
        <v/>
      </c>
      <c r="G718" t="str">
        <f t="shared" si="35"/>
        <v/>
      </c>
    </row>
    <row r="719" spans="1:7" x14ac:dyDescent="0.3">
      <c r="A719">
        <f>IF('Output Report'!$H$71+2&gt;ROW(A718),ROW(A718),0)</f>
        <v>0</v>
      </c>
      <c r="B719" t="str">
        <f>IF(AND(A719&gt;0,A719&lt;='Output Report'!$H$71+1),B718+MC_hist!$M$11/'Output Report'!$H$71,"")</f>
        <v/>
      </c>
      <c r="C719" t="str">
        <f t="shared" si="33"/>
        <v/>
      </c>
      <c r="D719" s="45" t="str">
        <f>IF(A720&gt;0,C719/'Output Report'!$H$70,"")</f>
        <v/>
      </c>
      <c r="E719" s="46" t="str">
        <f>IF(A720&gt;0,SUM($D$2:D719),"")</f>
        <v/>
      </c>
      <c r="F719" t="str">
        <f t="shared" si="34"/>
        <v/>
      </c>
      <c r="G719" t="str">
        <f t="shared" si="35"/>
        <v/>
      </c>
    </row>
    <row r="720" spans="1:7" x14ac:dyDescent="0.3">
      <c r="A720">
        <f>IF('Output Report'!$H$71+2&gt;ROW(A719),ROW(A719),0)</f>
        <v>0</v>
      </c>
      <c r="B720" t="str">
        <f>IF(AND(A720&gt;0,A720&lt;='Output Report'!$H$71+1),B719+MC_hist!$M$11/'Output Report'!$H$71,"")</f>
        <v/>
      </c>
      <c r="C720" t="str">
        <f t="shared" si="33"/>
        <v/>
      </c>
      <c r="D720" s="45" t="str">
        <f>IF(A721&gt;0,C720/'Output Report'!$H$70,"")</f>
        <v/>
      </c>
      <c r="E720" s="46" t="str">
        <f>IF(A721&gt;0,SUM($D$2:D720),"")</f>
        <v/>
      </c>
      <c r="F720" t="str">
        <f t="shared" si="34"/>
        <v/>
      </c>
      <c r="G720" t="str">
        <f t="shared" si="35"/>
        <v/>
      </c>
    </row>
    <row r="721" spans="1:7" x14ac:dyDescent="0.3">
      <c r="A721">
        <f>IF('Output Report'!$H$71+2&gt;ROW(A720),ROW(A720),0)</f>
        <v>0</v>
      </c>
      <c r="B721" t="str">
        <f>IF(AND(A721&gt;0,A721&lt;='Output Report'!$H$71+1),B720+MC_hist!$M$11/'Output Report'!$H$71,"")</f>
        <v/>
      </c>
      <c r="C721" t="str">
        <f t="shared" si="33"/>
        <v/>
      </c>
      <c r="D721" s="45" t="str">
        <f>IF(A722&gt;0,C721/'Output Report'!$H$70,"")</f>
        <v/>
      </c>
      <c r="E721" s="46" t="str">
        <f>IF(A722&gt;0,SUM($D$2:D721),"")</f>
        <v/>
      </c>
      <c r="F721" t="str">
        <f t="shared" si="34"/>
        <v/>
      </c>
      <c r="G721" t="str">
        <f t="shared" si="35"/>
        <v/>
      </c>
    </row>
    <row r="722" spans="1:7" x14ac:dyDescent="0.3">
      <c r="A722">
        <f>IF('Output Report'!$H$71+2&gt;ROW(A721),ROW(A721),0)</f>
        <v>0</v>
      </c>
      <c r="B722" t="str">
        <f>IF(AND(A722&gt;0,A722&lt;='Output Report'!$H$71+1),B721+MC_hist!$M$11/'Output Report'!$H$71,"")</f>
        <v/>
      </c>
      <c r="C722" t="str">
        <f t="shared" si="33"/>
        <v/>
      </c>
      <c r="D722" s="45" t="str">
        <f>IF(A723&gt;0,C722/'Output Report'!$H$70,"")</f>
        <v/>
      </c>
      <c r="E722" s="46" t="str">
        <f>IF(A723&gt;0,SUM($D$2:D722),"")</f>
        <v/>
      </c>
      <c r="F722" t="str">
        <f t="shared" si="34"/>
        <v/>
      </c>
      <c r="G722" t="str">
        <f t="shared" si="35"/>
        <v/>
      </c>
    </row>
    <row r="723" spans="1:7" x14ac:dyDescent="0.3">
      <c r="A723">
        <f>IF('Output Report'!$H$71+2&gt;ROW(A722),ROW(A722),0)</f>
        <v>0</v>
      </c>
      <c r="B723" t="str">
        <f>IF(AND(A723&gt;0,A723&lt;='Output Report'!$H$71+1),B722+MC_hist!$M$11/'Output Report'!$H$71,"")</f>
        <v/>
      </c>
      <c r="C723" t="str">
        <f t="shared" si="33"/>
        <v/>
      </c>
      <c r="D723" s="45" t="str">
        <f>IF(A724&gt;0,C723/'Output Report'!$H$70,"")</f>
        <v/>
      </c>
      <c r="E723" s="46" t="str">
        <f>IF(A724&gt;0,SUM($D$2:D723),"")</f>
        <v/>
      </c>
      <c r="F723" t="str">
        <f t="shared" si="34"/>
        <v/>
      </c>
      <c r="G723" t="str">
        <f t="shared" si="35"/>
        <v/>
      </c>
    </row>
    <row r="724" spans="1:7" x14ac:dyDescent="0.3">
      <c r="A724">
        <f>IF('Output Report'!$H$71+2&gt;ROW(A723),ROW(A723),0)</f>
        <v>0</v>
      </c>
      <c r="B724" t="str">
        <f>IF(AND(A724&gt;0,A724&lt;='Output Report'!$H$71+1),B723+MC_hist!$M$11/'Output Report'!$H$71,"")</f>
        <v/>
      </c>
      <c r="C724" t="str">
        <f t="shared" si="33"/>
        <v/>
      </c>
      <c r="D724" s="45" t="str">
        <f>IF(A725&gt;0,C724/'Output Report'!$H$70,"")</f>
        <v/>
      </c>
      <c r="E724" s="46" t="str">
        <f>IF(A725&gt;0,SUM($D$2:D724),"")</f>
        <v/>
      </c>
      <c r="F724" t="str">
        <f t="shared" si="34"/>
        <v/>
      </c>
      <c r="G724" t="str">
        <f t="shared" si="35"/>
        <v/>
      </c>
    </row>
    <row r="725" spans="1:7" x14ac:dyDescent="0.3">
      <c r="A725">
        <f>IF('Output Report'!$H$71+2&gt;ROW(A724),ROW(A724),0)</f>
        <v>0</v>
      </c>
      <c r="B725" t="str">
        <f>IF(AND(A725&gt;0,A725&lt;='Output Report'!$H$71+1),B724+MC_hist!$M$11/'Output Report'!$H$71,"")</f>
        <v/>
      </c>
      <c r="C725" t="str">
        <f t="shared" si="33"/>
        <v/>
      </c>
      <c r="D725" s="45" t="str">
        <f>IF(A726&gt;0,C725/'Output Report'!$H$70,"")</f>
        <v/>
      </c>
      <c r="E725" s="46" t="str">
        <f>IF(A726&gt;0,SUM($D$2:D725),"")</f>
        <v/>
      </c>
      <c r="F725" t="str">
        <f t="shared" si="34"/>
        <v/>
      </c>
      <c r="G725" t="str">
        <f t="shared" si="35"/>
        <v/>
      </c>
    </row>
    <row r="726" spans="1:7" x14ac:dyDescent="0.3">
      <c r="A726">
        <f>IF('Output Report'!$H$71+2&gt;ROW(A725),ROW(A725),0)</f>
        <v>0</v>
      </c>
      <c r="B726" t="str">
        <f>IF(AND(A726&gt;0,A726&lt;='Output Report'!$H$71+1),B725+MC_hist!$M$11/'Output Report'!$H$71,"")</f>
        <v/>
      </c>
      <c r="C726" t="str">
        <f t="shared" si="33"/>
        <v/>
      </c>
      <c r="D726" s="45" t="str">
        <f>IF(A727&gt;0,C726/'Output Report'!$H$70,"")</f>
        <v/>
      </c>
      <c r="E726" s="46" t="str">
        <f>IF(A727&gt;0,SUM($D$2:D726),"")</f>
        <v/>
      </c>
      <c r="F726" t="str">
        <f t="shared" si="34"/>
        <v/>
      </c>
      <c r="G726" t="str">
        <f t="shared" si="35"/>
        <v/>
      </c>
    </row>
    <row r="727" spans="1:7" x14ac:dyDescent="0.3">
      <c r="A727">
        <f>IF('Output Report'!$H$71+2&gt;ROW(A726),ROW(A726),0)</f>
        <v>0</v>
      </c>
      <c r="B727" t="str">
        <f>IF(AND(A727&gt;0,A727&lt;='Output Report'!$H$71+1),B726+MC_hist!$M$11/'Output Report'!$H$71,"")</f>
        <v/>
      </c>
      <c r="C727" t="str">
        <f t="shared" si="33"/>
        <v/>
      </c>
      <c r="D727" s="45" t="str">
        <f>IF(A728&gt;0,C727/'Output Report'!$H$70,"")</f>
        <v/>
      </c>
      <c r="E727" s="46" t="str">
        <f>IF(A728&gt;0,SUM($D$2:D727),"")</f>
        <v/>
      </c>
      <c r="F727" t="str">
        <f t="shared" si="34"/>
        <v/>
      </c>
      <c r="G727" t="str">
        <f t="shared" si="35"/>
        <v/>
      </c>
    </row>
    <row r="728" spans="1:7" x14ac:dyDescent="0.3">
      <c r="A728">
        <f>IF('Output Report'!$H$71+2&gt;ROW(A727),ROW(A727),0)</f>
        <v>0</v>
      </c>
      <c r="B728" t="str">
        <f>IF(AND(A728&gt;0,A728&lt;='Output Report'!$H$71+1),B727+MC_hist!$M$11/'Output Report'!$H$71,"")</f>
        <v/>
      </c>
      <c r="C728" t="str">
        <f t="shared" si="33"/>
        <v/>
      </c>
      <c r="D728" s="45" t="str">
        <f>IF(A729&gt;0,C728/'Output Report'!$H$70,"")</f>
        <v/>
      </c>
      <c r="E728" s="46" t="str">
        <f>IF(A729&gt;0,SUM($D$2:D728),"")</f>
        <v/>
      </c>
      <c r="F728" t="str">
        <f t="shared" si="34"/>
        <v/>
      </c>
      <c r="G728" t="str">
        <f t="shared" si="35"/>
        <v/>
      </c>
    </row>
    <row r="729" spans="1:7" x14ac:dyDescent="0.3">
      <c r="A729">
        <f>IF('Output Report'!$H$71+2&gt;ROW(A728),ROW(A728),0)</f>
        <v>0</v>
      </c>
      <c r="B729" t="str">
        <f>IF(AND(A729&gt;0,A729&lt;='Output Report'!$H$71+1),B728+MC_hist!$M$11/'Output Report'!$H$71,"")</f>
        <v/>
      </c>
      <c r="C729" t="str">
        <f t="shared" si="33"/>
        <v/>
      </c>
      <c r="D729" s="45" t="str">
        <f>IF(A730&gt;0,C729/'Output Report'!$H$70,"")</f>
        <v/>
      </c>
      <c r="E729" s="46" t="str">
        <f>IF(A730&gt;0,SUM($D$2:D729),"")</f>
        <v/>
      </c>
      <c r="F729" t="str">
        <f t="shared" si="34"/>
        <v/>
      </c>
      <c r="G729" t="str">
        <f t="shared" si="35"/>
        <v/>
      </c>
    </row>
    <row r="730" spans="1:7" x14ac:dyDescent="0.3">
      <c r="A730">
        <f>IF('Output Report'!$H$71+2&gt;ROW(A729),ROW(A729),0)</f>
        <v>0</v>
      </c>
      <c r="B730" t="str">
        <f>IF(AND(A730&gt;0,A730&lt;='Output Report'!$H$71+1),B729+MC_hist!$M$11/'Output Report'!$H$71,"")</f>
        <v/>
      </c>
      <c r="C730" t="str">
        <f t="shared" si="33"/>
        <v/>
      </c>
      <c r="D730" s="45" t="str">
        <f>IF(A731&gt;0,C730/'Output Report'!$H$70,"")</f>
        <v/>
      </c>
      <c r="E730" s="46" t="str">
        <f>IF(A731&gt;0,SUM($D$2:D730),"")</f>
        <v/>
      </c>
      <c r="F730" t="str">
        <f t="shared" si="34"/>
        <v/>
      </c>
      <c r="G730" t="str">
        <f t="shared" si="35"/>
        <v/>
      </c>
    </row>
    <row r="731" spans="1:7" x14ac:dyDescent="0.3">
      <c r="A731">
        <f>IF('Output Report'!$H$71+2&gt;ROW(A730),ROW(A730),0)</f>
        <v>0</v>
      </c>
      <c r="B731" t="str">
        <f>IF(AND(A731&gt;0,A731&lt;='Output Report'!$H$71+1),B730+MC_hist!$M$11/'Output Report'!$H$71,"")</f>
        <v/>
      </c>
      <c r="C731" t="str">
        <f t="shared" si="33"/>
        <v/>
      </c>
      <c r="D731" s="45" t="str">
        <f>IF(A732&gt;0,C731/'Output Report'!$H$70,"")</f>
        <v/>
      </c>
      <c r="E731" s="46" t="str">
        <f>IF(A732&gt;0,SUM($D$2:D731),"")</f>
        <v/>
      </c>
      <c r="F731" t="str">
        <f t="shared" si="34"/>
        <v/>
      </c>
      <c r="G731" t="str">
        <f t="shared" si="35"/>
        <v/>
      </c>
    </row>
    <row r="732" spans="1:7" x14ac:dyDescent="0.3">
      <c r="A732">
        <f>IF('Output Report'!$H$71+2&gt;ROW(A731),ROW(A731),0)</f>
        <v>0</v>
      </c>
      <c r="B732" t="str">
        <f>IF(AND(A732&gt;0,A732&lt;='Output Report'!$H$71+1),B731+MC_hist!$M$11/'Output Report'!$H$71,"")</f>
        <v/>
      </c>
      <c r="C732" t="str">
        <f t="shared" si="33"/>
        <v/>
      </c>
      <c r="D732" s="45" t="str">
        <f>IF(A733&gt;0,C732/'Output Report'!$H$70,"")</f>
        <v/>
      </c>
      <c r="E732" s="46" t="str">
        <f>IF(A733&gt;0,SUM($D$2:D732),"")</f>
        <v/>
      </c>
      <c r="F732" t="str">
        <f t="shared" si="34"/>
        <v/>
      </c>
      <c r="G732" t="str">
        <f t="shared" si="35"/>
        <v/>
      </c>
    </row>
    <row r="733" spans="1:7" x14ac:dyDescent="0.3">
      <c r="A733">
        <f>IF('Output Report'!$H$71+2&gt;ROW(A732),ROW(A732),0)</f>
        <v>0</v>
      </c>
      <c r="B733" t="str">
        <f>IF(AND(A733&gt;0,A733&lt;='Output Report'!$H$71+1),B732+MC_hist!$M$11/'Output Report'!$H$71,"")</f>
        <v/>
      </c>
      <c r="C733" t="str">
        <f t="shared" si="33"/>
        <v/>
      </c>
      <c r="D733" s="45" t="str">
        <f>IF(A734&gt;0,C733/'Output Report'!$H$70,"")</f>
        <v/>
      </c>
      <c r="E733" s="46" t="str">
        <f>IF(A734&gt;0,SUM($D$2:D733),"")</f>
        <v/>
      </c>
      <c r="F733" t="str">
        <f t="shared" si="34"/>
        <v/>
      </c>
      <c r="G733" t="str">
        <f t="shared" si="35"/>
        <v/>
      </c>
    </row>
    <row r="734" spans="1:7" x14ac:dyDescent="0.3">
      <c r="A734">
        <f>IF('Output Report'!$H$71+2&gt;ROW(A733),ROW(A733),0)</f>
        <v>0</v>
      </c>
      <c r="B734" t="str">
        <f>IF(AND(A734&gt;0,A734&lt;='Output Report'!$H$71+1),B733+MC_hist!$M$11/'Output Report'!$H$71,"")</f>
        <v/>
      </c>
      <c r="C734" t="str">
        <f t="shared" si="33"/>
        <v/>
      </c>
      <c r="D734" s="45" t="str">
        <f>IF(A735&gt;0,C734/'Output Report'!$H$70,"")</f>
        <v/>
      </c>
      <c r="E734" s="46" t="str">
        <f>IF(A735&gt;0,SUM($D$2:D734),"")</f>
        <v/>
      </c>
      <c r="F734" t="str">
        <f t="shared" si="34"/>
        <v/>
      </c>
      <c r="G734" t="str">
        <f t="shared" si="35"/>
        <v/>
      </c>
    </row>
    <row r="735" spans="1:7" x14ac:dyDescent="0.3">
      <c r="A735">
        <f>IF('Output Report'!$H$71+2&gt;ROW(A734),ROW(A734),0)</f>
        <v>0</v>
      </c>
      <c r="B735" t="str">
        <f>IF(AND(A735&gt;0,A735&lt;='Output Report'!$H$71+1),B734+MC_hist!$M$11/'Output Report'!$H$71,"")</f>
        <v/>
      </c>
      <c r="C735" t="str">
        <f t="shared" si="33"/>
        <v/>
      </c>
      <c r="D735" s="45" t="str">
        <f>IF(A736&gt;0,C735/'Output Report'!$H$70,"")</f>
        <v/>
      </c>
      <c r="E735" s="46" t="str">
        <f>IF(A736&gt;0,SUM($D$2:D735),"")</f>
        <v/>
      </c>
      <c r="F735" t="str">
        <f t="shared" si="34"/>
        <v/>
      </c>
      <c r="G735" t="str">
        <f t="shared" si="35"/>
        <v/>
      </c>
    </row>
    <row r="736" spans="1:7" x14ac:dyDescent="0.3">
      <c r="A736">
        <f>IF('Output Report'!$H$71+2&gt;ROW(A735),ROW(A735),0)</f>
        <v>0</v>
      </c>
      <c r="B736" t="str">
        <f>IF(AND(A736&gt;0,A736&lt;='Output Report'!$H$71+1),B735+MC_hist!$M$11/'Output Report'!$H$71,"")</f>
        <v/>
      </c>
      <c r="C736" t="str">
        <f t="shared" si="33"/>
        <v/>
      </c>
      <c r="D736" s="45" t="str">
        <f>IF(A737&gt;0,C736/'Output Report'!$H$70,"")</f>
        <v/>
      </c>
      <c r="E736" s="46" t="str">
        <f>IF(A737&gt;0,SUM($D$2:D736),"")</f>
        <v/>
      </c>
      <c r="F736" t="str">
        <f t="shared" si="34"/>
        <v/>
      </c>
      <c r="G736" t="str">
        <f t="shared" si="35"/>
        <v/>
      </c>
    </row>
    <row r="737" spans="1:7" x14ac:dyDescent="0.3">
      <c r="A737">
        <f>IF('Output Report'!$H$71+2&gt;ROW(A736),ROW(A736),0)</f>
        <v>0</v>
      </c>
      <c r="B737" t="str">
        <f>IF(AND(A737&gt;0,A737&lt;='Output Report'!$H$71+1),B736+MC_hist!$M$11/'Output Report'!$H$71,"")</f>
        <v/>
      </c>
      <c r="C737" t="str">
        <f t="shared" si="33"/>
        <v/>
      </c>
      <c r="D737" s="45" t="str">
        <f>IF(A738&gt;0,C737/'Output Report'!$H$70,"")</f>
        <v/>
      </c>
      <c r="E737" s="46" t="str">
        <f>IF(A738&gt;0,SUM($D$2:D737),"")</f>
        <v/>
      </c>
      <c r="F737" t="str">
        <f t="shared" si="34"/>
        <v/>
      </c>
      <c r="G737" t="str">
        <f t="shared" si="35"/>
        <v/>
      </c>
    </row>
    <row r="738" spans="1:7" x14ac:dyDescent="0.3">
      <c r="A738">
        <f>IF('Output Report'!$H$71+2&gt;ROW(A737),ROW(A737),0)</f>
        <v>0</v>
      </c>
      <c r="B738" t="str">
        <f>IF(AND(A738&gt;0,A738&lt;='Output Report'!$H$71+1),B737+MC_hist!$M$11/'Output Report'!$H$71,"")</f>
        <v/>
      </c>
      <c r="C738" t="str">
        <f t="shared" si="33"/>
        <v/>
      </c>
      <c r="D738" s="45" t="str">
        <f>IF(A739&gt;0,C738/'Output Report'!$H$70,"")</f>
        <v/>
      </c>
      <c r="E738" s="46" t="str">
        <f>IF(A739&gt;0,SUM($D$2:D738),"")</f>
        <v/>
      </c>
      <c r="F738" t="str">
        <f t="shared" si="34"/>
        <v/>
      </c>
      <c r="G738" t="str">
        <f t="shared" si="35"/>
        <v/>
      </c>
    </row>
    <row r="739" spans="1:7" x14ac:dyDescent="0.3">
      <c r="A739">
        <f>IF('Output Report'!$H$71+2&gt;ROW(A738),ROW(A738),0)</f>
        <v>0</v>
      </c>
      <c r="B739" t="str">
        <f>IF(AND(A739&gt;0,A739&lt;='Output Report'!$H$71+1),B738+MC_hist!$M$11/'Output Report'!$H$71,"")</f>
        <v/>
      </c>
      <c r="C739" t="str">
        <f t="shared" si="33"/>
        <v/>
      </c>
      <c r="D739" s="45" t="str">
        <f>IF(A740&gt;0,C739/'Output Report'!$H$70,"")</f>
        <v/>
      </c>
      <c r="E739" s="46" t="str">
        <f>IF(A740&gt;0,SUM($D$2:D739),"")</f>
        <v/>
      </c>
      <c r="F739" t="str">
        <f t="shared" si="34"/>
        <v/>
      </c>
      <c r="G739" t="str">
        <f t="shared" si="35"/>
        <v/>
      </c>
    </row>
    <row r="740" spans="1:7" x14ac:dyDescent="0.3">
      <c r="A740">
        <f>IF('Output Report'!$H$71+2&gt;ROW(A739),ROW(A739),0)</f>
        <v>0</v>
      </c>
      <c r="B740" t="str">
        <f>IF(AND(A740&gt;0,A740&lt;='Output Report'!$H$71+1),B739+MC_hist!$M$11/'Output Report'!$H$71,"")</f>
        <v/>
      </c>
      <c r="C740" t="str">
        <f t="shared" si="33"/>
        <v/>
      </c>
      <c r="D740" s="45" t="str">
        <f>IF(A741&gt;0,C740/'Output Report'!$H$70,"")</f>
        <v/>
      </c>
      <c r="E740" s="46" t="str">
        <f>IF(A741&gt;0,SUM($D$2:D740),"")</f>
        <v/>
      </c>
      <c r="F740" t="str">
        <f t="shared" si="34"/>
        <v/>
      </c>
      <c r="G740" t="str">
        <f t="shared" si="35"/>
        <v/>
      </c>
    </row>
    <row r="741" spans="1:7" x14ac:dyDescent="0.3">
      <c r="A741">
        <f>IF('Output Report'!$H$71+2&gt;ROW(A740),ROW(A740),0)</f>
        <v>0</v>
      </c>
      <c r="B741" t="str">
        <f>IF(AND(A741&gt;0,A741&lt;='Output Report'!$H$71+1),B740+MC_hist!$M$11/'Output Report'!$H$71,"")</f>
        <v/>
      </c>
      <c r="C741" t="str">
        <f t="shared" si="33"/>
        <v/>
      </c>
      <c r="D741" s="45" t="str">
        <f>IF(A742&gt;0,C741/'Output Report'!$H$70,"")</f>
        <v/>
      </c>
      <c r="E741" s="46" t="str">
        <f>IF(A742&gt;0,SUM($D$2:D741),"")</f>
        <v/>
      </c>
      <c r="F741" t="str">
        <f t="shared" si="34"/>
        <v/>
      </c>
      <c r="G741" t="str">
        <f t="shared" si="35"/>
        <v/>
      </c>
    </row>
    <row r="742" spans="1:7" x14ac:dyDescent="0.3">
      <c r="A742">
        <f>IF('Output Report'!$H$71+2&gt;ROW(A741),ROW(A741),0)</f>
        <v>0</v>
      </c>
      <c r="B742" t="str">
        <f>IF(AND(A742&gt;0,A742&lt;='Output Report'!$H$71+1),B741+MC_hist!$M$11/'Output Report'!$H$71,"")</f>
        <v/>
      </c>
      <c r="C742" t="str">
        <f t="shared" si="33"/>
        <v/>
      </c>
      <c r="D742" s="45" t="str">
        <f>IF(A743&gt;0,C742/'Output Report'!$H$70,"")</f>
        <v/>
      </c>
      <c r="E742" s="46" t="str">
        <f>IF(A743&gt;0,SUM($D$2:D742),"")</f>
        <v/>
      </c>
      <c r="F742" t="str">
        <f t="shared" si="34"/>
        <v/>
      </c>
      <c r="G742" t="str">
        <f t="shared" si="35"/>
        <v/>
      </c>
    </row>
    <row r="743" spans="1:7" x14ac:dyDescent="0.3">
      <c r="A743">
        <f>IF('Output Report'!$H$71+2&gt;ROW(A742),ROW(A742),0)</f>
        <v>0</v>
      </c>
      <c r="B743" t="str">
        <f>IF(AND(A743&gt;0,A743&lt;='Output Report'!$H$71+1),B742+MC_hist!$M$11/'Output Report'!$H$71,"")</f>
        <v/>
      </c>
      <c r="C743" t="str">
        <f t="shared" si="33"/>
        <v/>
      </c>
      <c r="D743" s="45" t="str">
        <f>IF(A744&gt;0,C743/'Output Report'!$H$70,"")</f>
        <v/>
      </c>
      <c r="E743" s="46" t="str">
        <f>IF(A744&gt;0,SUM($D$2:D743),"")</f>
        <v/>
      </c>
      <c r="F743" t="str">
        <f t="shared" si="34"/>
        <v/>
      </c>
      <c r="G743" t="str">
        <f t="shared" si="35"/>
        <v/>
      </c>
    </row>
    <row r="744" spans="1:7" x14ac:dyDescent="0.3">
      <c r="A744">
        <f>IF('Output Report'!$H$71+2&gt;ROW(A743),ROW(A743),0)</f>
        <v>0</v>
      </c>
      <c r="B744" t="str">
        <f>IF(AND(A744&gt;0,A744&lt;='Output Report'!$H$71+1),B743+MC_hist!$M$11/'Output Report'!$H$71,"")</f>
        <v/>
      </c>
      <c r="C744" t="str">
        <f t="shared" si="33"/>
        <v/>
      </c>
      <c r="D744" s="45" t="str">
        <f>IF(A745&gt;0,C744/'Output Report'!$H$70,"")</f>
        <v/>
      </c>
      <c r="E744" s="46" t="str">
        <f>IF(A745&gt;0,SUM($D$2:D744),"")</f>
        <v/>
      </c>
      <c r="F744" t="str">
        <f t="shared" si="34"/>
        <v/>
      </c>
      <c r="G744" t="str">
        <f t="shared" si="35"/>
        <v/>
      </c>
    </row>
    <row r="745" spans="1:7" x14ac:dyDescent="0.3">
      <c r="A745">
        <f>IF('Output Report'!$H$71+2&gt;ROW(A744),ROW(A744),0)</f>
        <v>0</v>
      </c>
      <c r="B745" t="str">
        <f>IF(AND(A745&gt;0,A745&lt;='Output Report'!$H$71+1),B744+MC_hist!$M$11/'Output Report'!$H$71,"")</f>
        <v/>
      </c>
      <c r="C745" t="str">
        <f t="shared" si="33"/>
        <v/>
      </c>
      <c r="D745" s="45" t="str">
        <f>IF(A746&gt;0,C745/'Output Report'!$H$70,"")</f>
        <v/>
      </c>
      <c r="E745" s="46" t="str">
        <f>IF(A746&gt;0,SUM($D$2:D745),"")</f>
        <v/>
      </c>
      <c r="F745" t="str">
        <f t="shared" si="34"/>
        <v/>
      </c>
      <c r="G745" t="str">
        <f t="shared" si="35"/>
        <v/>
      </c>
    </row>
    <row r="746" spans="1:7" x14ac:dyDescent="0.3">
      <c r="A746">
        <f>IF('Output Report'!$H$71+2&gt;ROW(A745),ROW(A745),0)</f>
        <v>0</v>
      </c>
      <c r="B746" t="str">
        <f>IF(AND(A746&gt;0,A746&lt;='Output Report'!$H$71+1),B745+MC_hist!$M$11/'Output Report'!$H$71,"")</f>
        <v/>
      </c>
      <c r="C746" t="str">
        <f t="shared" si="33"/>
        <v/>
      </c>
      <c r="D746" s="45" t="str">
        <f>IF(A747&gt;0,C746/'Output Report'!$H$70,"")</f>
        <v/>
      </c>
      <c r="E746" s="46" t="str">
        <f>IF(A747&gt;0,SUM($D$2:D746),"")</f>
        <v/>
      </c>
      <c r="F746" t="str">
        <f t="shared" si="34"/>
        <v/>
      </c>
      <c r="G746" t="str">
        <f t="shared" si="35"/>
        <v/>
      </c>
    </row>
    <row r="747" spans="1:7" x14ac:dyDescent="0.3">
      <c r="A747">
        <f>IF('Output Report'!$H$71+2&gt;ROW(A746),ROW(A746),0)</f>
        <v>0</v>
      </c>
      <c r="B747" t="str">
        <f>IF(AND(A747&gt;0,A747&lt;='Output Report'!$H$71+1),B746+MC_hist!$M$11/'Output Report'!$H$71,"")</f>
        <v/>
      </c>
      <c r="C747" t="str">
        <f t="shared" si="33"/>
        <v/>
      </c>
      <c r="D747" s="45" t="str">
        <f>IF(A748&gt;0,C747/'Output Report'!$H$70,"")</f>
        <v/>
      </c>
      <c r="E747" s="46" t="str">
        <f>IF(A748&gt;0,SUM($D$2:D747),"")</f>
        <v/>
      </c>
      <c r="F747" t="str">
        <f t="shared" si="34"/>
        <v/>
      </c>
      <c r="G747" t="str">
        <f t="shared" si="35"/>
        <v/>
      </c>
    </row>
    <row r="748" spans="1:7" x14ac:dyDescent="0.3">
      <c r="A748">
        <f>IF('Output Report'!$H$71+2&gt;ROW(A747),ROW(A747),0)</f>
        <v>0</v>
      </c>
      <c r="B748" t="str">
        <f>IF(AND(A748&gt;0,A748&lt;='Output Report'!$H$71+1),B747+MC_hist!$M$11/'Output Report'!$H$71,"")</f>
        <v/>
      </c>
      <c r="C748" t="str">
        <f t="shared" si="33"/>
        <v/>
      </c>
      <c r="D748" s="45" t="str">
        <f>IF(A749&gt;0,C748/'Output Report'!$H$70,"")</f>
        <v/>
      </c>
      <c r="E748" s="46" t="str">
        <f>IF(A749&gt;0,SUM($D$2:D748),"")</f>
        <v/>
      </c>
      <c r="F748" t="str">
        <f t="shared" si="34"/>
        <v/>
      </c>
      <c r="G748" t="str">
        <f t="shared" si="35"/>
        <v/>
      </c>
    </row>
    <row r="749" spans="1:7" x14ac:dyDescent="0.3">
      <c r="A749">
        <f>IF('Output Report'!$H$71+2&gt;ROW(A748),ROW(A748),0)</f>
        <v>0</v>
      </c>
      <c r="B749" t="str">
        <f>IF(AND(A749&gt;0,A749&lt;='Output Report'!$H$71+1),B748+MC_hist!$M$11/'Output Report'!$H$71,"")</f>
        <v/>
      </c>
      <c r="C749" t="str">
        <f t="shared" si="33"/>
        <v/>
      </c>
      <c r="D749" s="45" t="str">
        <f>IF(A750&gt;0,C749/'Output Report'!$H$70,"")</f>
        <v/>
      </c>
      <c r="E749" s="46" t="str">
        <f>IF(A750&gt;0,SUM($D$2:D749),"")</f>
        <v/>
      </c>
      <c r="F749" t="str">
        <f t="shared" si="34"/>
        <v/>
      </c>
      <c r="G749" t="str">
        <f t="shared" si="35"/>
        <v/>
      </c>
    </row>
    <row r="750" spans="1:7" x14ac:dyDescent="0.3">
      <c r="A750">
        <f>IF('Output Report'!$H$71+2&gt;ROW(A749),ROW(A749),0)</f>
        <v>0</v>
      </c>
      <c r="B750" t="str">
        <f>IF(AND(A750&gt;0,A750&lt;='Output Report'!$H$71+1),B749+MC_hist!$M$11/'Output Report'!$H$71,"")</f>
        <v/>
      </c>
      <c r="C750" t="str">
        <f t="shared" ref="C750:C813" si="36">IF(A751&gt;0,COUNTIFS(data_sim,"&gt;"&amp;B750,data_sim,"&lt;="&amp;B751),"")</f>
        <v/>
      </c>
      <c r="D750" s="45" t="str">
        <f>IF(A751&gt;0,C750/'Output Report'!$H$70,"")</f>
        <v/>
      </c>
      <c r="E750" s="46" t="str">
        <f>IF(A751&gt;0,SUM($D$2:D750),"")</f>
        <v/>
      </c>
      <c r="F750" t="str">
        <f t="shared" ref="F750:F813" si="37">IF(B750&lt;=0,D750,"")</f>
        <v/>
      </c>
      <c r="G750" t="str">
        <f t="shared" si="35"/>
        <v/>
      </c>
    </row>
    <row r="751" spans="1:7" x14ac:dyDescent="0.3">
      <c r="A751">
        <f>IF('Output Report'!$H$71+2&gt;ROW(A750),ROW(A750),0)</f>
        <v>0</v>
      </c>
      <c r="B751" t="str">
        <f>IF(AND(A751&gt;0,A751&lt;='Output Report'!$H$71+1),B750+MC_hist!$M$11/'Output Report'!$H$71,"")</f>
        <v/>
      </c>
      <c r="C751" t="str">
        <f t="shared" si="36"/>
        <v/>
      </c>
      <c r="D751" s="45" t="str">
        <f>IF(A752&gt;0,C751/'Output Report'!$H$70,"")</f>
        <v/>
      </c>
      <c r="E751" s="46" t="str">
        <f>IF(A752&gt;0,SUM($D$2:D751),"")</f>
        <v/>
      </c>
      <c r="F751" t="str">
        <f t="shared" si="37"/>
        <v/>
      </c>
      <c r="G751" t="str">
        <f t="shared" si="35"/>
        <v/>
      </c>
    </row>
    <row r="752" spans="1:7" x14ac:dyDescent="0.3">
      <c r="A752">
        <f>IF('Output Report'!$H$71+2&gt;ROW(A751),ROW(A751),0)</f>
        <v>0</v>
      </c>
      <c r="B752" t="str">
        <f>IF(AND(A752&gt;0,A752&lt;='Output Report'!$H$71+1),B751+MC_hist!$M$11/'Output Report'!$H$71,"")</f>
        <v/>
      </c>
      <c r="C752" t="str">
        <f t="shared" si="36"/>
        <v/>
      </c>
      <c r="D752" s="45" t="str">
        <f>IF(A753&gt;0,C752/'Output Report'!$H$70,"")</f>
        <v/>
      </c>
      <c r="E752" s="46" t="str">
        <f>IF(A753&gt;0,SUM($D$2:D752),"")</f>
        <v/>
      </c>
      <c r="F752" t="str">
        <f t="shared" si="37"/>
        <v/>
      </c>
      <c r="G752" t="str">
        <f t="shared" si="35"/>
        <v/>
      </c>
    </row>
    <row r="753" spans="1:7" x14ac:dyDescent="0.3">
      <c r="A753">
        <f>IF('Output Report'!$H$71+2&gt;ROW(A752),ROW(A752),0)</f>
        <v>0</v>
      </c>
      <c r="B753" t="str">
        <f>IF(AND(A753&gt;0,A753&lt;='Output Report'!$H$71+1),B752+MC_hist!$M$11/'Output Report'!$H$71,"")</f>
        <v/>
      </c>
      <c r="C753" t="str">
        <f t="shared" si="36"/>
        <v/>
      </c>
      <c r="D753" s="45" t="str">
        <f>IF(A754&gt;0,C753/'Output Report'!$H$70,"")</f>
        <v/>
      </c>
      <c r="E753" s="46" t="str">
        <f>IF(A754&gt;0,SUM($D$2:D753),"")</f>
        <v/>
      </c>
      <c r="F753" t="str">
        <f t="shared" si="37"/>
        <v/>
      </c>
      <c r="G753" t="str">
        <f t="shared" si="35"/>
        <v/>
      </c>
    </row>
    <row r="754" spans="1:7" x14ac:dyDescent="0.3">
      <c r="A754">
        <f>IF('Output Report'!$H$71+2&gt;ROW(A753),ROW(A753),0)</f>
        <v>0</v>
      </c>
      <c r="B754" t="str">
        <f>IF(AND(A754&gt;0,A754&lt;='Output Report'!$H$71+1),B753+MC_hist!$M$11/'Output Report'!$H$71,"")</f>
        <v/>
      </c>
      <c r="C754" t="str">
        <f t="shared" si="36"/>
        <v/>
      </c>
      <c r="D754" s="45" t="str">
        <f>IF(A755&gt;0,C754/'Output Report'!$H$70,"")</f>
        <v/>
      </c>
      <c r="E754" s="46" t="str">
        <f>IF(A755&gt;0,SUM($D$2:D754),"")</f>
        <v/>
      </c>
      <c r="F754" t="str">
        <f t="shared" si="37"/>
        <v/>
      </c>
      <c r="G754" t="str">
        <f t="shared" si="35"/>
        <v/>
      </c>
    </row>
    <row r="755" spans="1:7" x14ac:dyDescent="0.3">
      <c r="A755">
        <f>IF('Output Report'!$H$71+2&gt;ROW(A754),ROW(A754),0)</f>
        <v>0</v>
      </c>
      <c r="B755" t="str">
        <f>IF(AND(A755&gt;0,A755&lt;='Output Report'!$H$71+1),B754+MC_hist!$M$11/'Output Report'!$H$71,"")</f>
        <v/>
      </c>
      <c r="C755" t="str">
        <f t="shared" si="36"/>
        <v/>
      </c>
      <c r="D755" s="45" t="str">
        <f>IF(A756&gt;0,C755/'Output Report'!$H$70,"")</f>
        <v/>
      </c>
      <c r="E755" s="46" t="str">
        <f>IF(A756&gt;0,SUM($D$2:D755),"")</f>
        <v/>
      </c>
      <c r="F755" t="str">
        <f t="shared" si="37"/>
        <v/>
      </c>
      <c r="G755" t="str">
        <f t="shared" si="35"/>
        <v/>
      </c>
    </row>
    <row r="756" spans="1:7" x14ac:dyDescent="0.3">
      <c r="A756">
        <f>IF('Output Report'!$H$71+2&gt;ROW(A755),ROW(A755),0)</f>
        <v>0</v>
      </c>
      <c r="B756" t="str">
        <f>IF(AND(A756&gt;0,A756&lt;='Output Report'!$H$71+1),B755+MC_hist!$M$11/'Output Report'!$H$71,"")</f>
        <v/>
      </c>
      <c r="C756" t="str">
        <f t="shared" si="36"/>
        <v/>
      </c>
      <c r="D756" s="45" t="str">
        <f>IF(A757&gt;0,C756/'Output Report'!$H$70,"")</f>
        <v/>
      </c>
      <c r="E756" s="46" t="str">
        <f>IF(A757&gt;0,SUM($D$2:D756),"")</f>
        <v/>
      </c>
      <c r="F756" t="str">
        <f t="shared" si="37"/>
        <v/>
      </c>
      <c r="G756" t="str">
        <f t="shared" si="35"/>
        <v/>
      </c>
    </row>
    <row r="757" spans="1:7" x14ac:dyDescent="0.3">
      <c r="A757">
        <f>IF('Output Report'!$H$71+2&gt;ROW(A756),ROW(A756),0)</f>
        <v>0</v>
      </c>
      <c r="B757" t="str">
        <f>IF(AND(A757&gt;0,A757&lt;='Output Report'!$H$71+1),B756+MC_hist!$M$11/'Output Report'!$H$71,"")</f>
        <v/>
      </c>
      <c r="C757" t="str">
        <f t="shared" si="36"/>
        <v/>
      </c>
      <c r="D757" s="45" t="str">
        <f>IF(A758&gt;0,C757/'Output Report'!$H$70,"")</f>
        <v/>
      </c>
      <c r="E757" s="46" t="str">
        <f>IF(A758&gt;0,SUM($D$2:D757),"")</f>
        <v/>
      </c>
      <c r="F757" t="str">
        <f t="shared" si="37"/>
        <v/>
      </c>
      <c r="G757" t="str">
        <f t="shared" si="35"/>
        <v/>
      </c>
    </row>
    <row r="758" spans="1:7" x14ac:dyDescent="0.3">
      <c r="A758">
        <f>IF('Output Report'!$H$71+2&gt;ROW(A757),ROW(A757),0)</f>
        <v>0</v>
      </c>
      <c r="B758" t="str">
        <f>IF(AND(A758&gt;0,A758&lt;='Output Report'!$H$71+1),B757+MC_hist!$M$11/'Output Report'!$H$71,"")</f>
        <v/>
      </c>
      <c r="C758" t="str">
        <f t="shared" si="36"/>
        <v/>
      </c>
      <c r="D758" s="45" t="str">
        <f>IF(A759&gt;0,C758/'Output Report'!$H$70,"")</f>
        <v/>
      </c>
      <c r="E758" s="46" t="str">
        <f>IF(A759&gt;0,SUM($D$2:D758),"")</f>
        <v/>
      </c>
      <c r="F758" t="str">
        <f t="shared" si="37"/>
        <v/>
      </c>
      <c r="G758" t="str">
        <f t="shared" si="35"/>
        <v/>
      </c>
    </row>
    <row r="759" spans="1:7" x14ac:dyDescent="0.3">
      <c r="A759">
        <f>IF('Output Report'!$H$71+2&gt;ROW(A758),ROW(A758),0)</f>
        <v>0</v>
      </c>
      <c r="B759" t="str">
        <f>IF(AND(A759&gt;0,A759&lt;='Output Report'!$H$71+1),B758+MC_hist!$M$11/'Output Report'!$H$71,"")</f>
        <v/>
      </c>
      <c r="C759" t="str">
        <f t="shared" si="36"/>
        <v/>
      </c>
      <c r="D759" s="45" t="str">
        <f>IF(A760&gt;0,C759/'Output Report'!$H$70,"")</f>
        <v/>
      </c>
      <c r="E759" s="46" t="str">
        <f>IF(A760&gt;0,SUM($D$2:D759),"")</f>
        <v/>
      </c>
      <c r="F759" t="str">
        <f t="shared" si="37"/>
        <v/>
      </c>
      <c r="G759" t="str">
        <f t="shared" si="35"/>
        <v/>
      </c>
    </row>
    <row r="760" spans="1:7" x14ac:dyDescent="0.3">
      <c r="A760">
        <f>IF('Output Report'!$H$71+2&gt;ROW(A759),ROW(A759),0)</f>
        <v>0</v>
      </c>
      <c r="B760" t="str">
        <f>IF(AND(A760&gt;0,A760&lt;='Output Report'!$H$71+1),B759+MC_hist!$M$11/'Output Report'!$H$71,"")</f>
        <v/>
      </c>
      <c r="C760" t="str">
        <f t="shared" si="36"/>
        <v/>
      </c>
      <c r="D760" s="45" t="str">
        <f>IF(A761&gt;0,C760/'Output Report'!$H$70,"")</f>
        <v/>
      </c>
      <c r="E760" s="46" t="str">
        <f>IF(A761&gt;0,SUM($D$2:D760),"")</f>
        <v/>
      </c>
      <c r="F760" t="str">
        <f t="shared" si="37"/>
        <v/>
      </c>
      <c r="G760" t="str">
        <f t="shared" si="35"/>
        <v/>
      </c>
    </row>
    <row r="761" spans="1:7" x14ac:dyDescent="0.3">
      <c r="A761">
        <f>IF('Output Report'!$H$71+2&gt;ROW(A760),ROW(A760),0)</f>
        <v>0</v>
      </c>
      <c r="B761" t="str">
        <f>IF(AND(A761&gt;0,A761&lt;='Output Report'!$H$71+1),B760+MC_hist!$M$11/'Output Report'!$H$71,"")</f>
        <v/>
      </c>
      <c r="C761" t="str">
        <f t="shared" si="36"/>
        <v/>
      </c>
      <c r="D761" s="45" t="str">
        <f>IF(A762&gt;0,C761/'Output Report'!$H$70,"")</f>
        <v/>
      </c>
      <c r="E761" s="46" t="str">
        <f>IF(A762&gt;0,SUM($D$2:D761),"")</f>
        <v/>
      </c>
      <c r="F761" t="str">
        <f t="shared" si="37"/>
        <v/>
      </c>
      <c r="G761" t="str">
        <f t="shared" si="35"/>
        <v/>
      </c>
    </row>
    <row r="762" spans="1:7" x14ac:dyDescent="0.3">
      <c r="A762">
        <f>IF('Output Report'!$H$71+2&gt;ROW(A761),ROW(A761),0)</f>
        <v>0</v>
      </c>
      <c r="B762" t="str">
        <f>IF(AND(A762&gt;0,A762&lt;='Output Report'!$H$71+1),B761+MC_hist!$M$11/'Output Report'!$H$71,"")</f>
        <v/>
      </c>
      <c r="C762" t="str">
        <f t="shared" si="36"/>
        <v/>
      </c>
      <c r="D762" s="45" t="str">
        <f>IF(A763&gt;0,C762/'Output Report'!$H$70,"")</f>
        <v/>
      </c>
      <c r="E762" s="46" t="str">
        <f>IF(A763&gt;0,SUM($D$2:D762),"")</f>
        <v/>
      </c>
      <c r="F762" t="str">
        <f t="shared" si="37"/>
        <v/>
      </c>
      <c r="G762" t="str">
        <f t="shared" si="35"/>
        <v/>
      </c>
    </row>
    <row r="763" spans="1:7" x14ac:dyDescent="0.3">
      <c r="A763">
        <f>IF('Output Report'!$H$71+2&gt;ROW(A762),ROW(A762),0)</f>
        <v>0</v>
      </c>
      <c r="B763" t="str">
        <f>IF(AND(A763&gt;0,A763&lt;='Output Report'!$H$71+1),B762+MC_hist!$M$11/'Output Report'!$H$71,"")</f>
        <v/>
      </c>
      <c r="C763" t="str">
        <f t="shared" si="36"/>
        <v/>
      </c>
      <c r="D763" s="45" t="str">
        <f>IF(A764&gt;0,C763/'Output Report'!$H$70,"")</f>
        <v/>
      </c>
      <c r="E763" s="46" t="str">
        <f>IF(A764&gt;0,SUM($D$2:D763),"")</f>
        <v/>
      </c>
      <c r="F763" t="str">
        <f t="shared" si="37"/>
        <v/>
      </c>
      <c r="G763" t="str">
        <f t="shared" si="35"/>
        <v/>
      </c>
    </row>
    <row r="764" spans="1:7" x14ac:dyDescent="0.3">
      <c r="A764">
        <f>IF('Output Report'!$H$71+2&gt;ROW(A763),ROW(A763),0)</f>
        <v>0</v>
      </c>
      <c r="B764" t="str">
        <f>IF(AND(A764&gt;0,A764&lt;='Output Report'!$H$71+1),B763+MC_hist!$M$11/'Output Report'!$H$71,"")</f>
        <v/>
      </c>
      <c r="C764" t="str">
        <f t="shared" si="36"/>
        <v/>
      </c>
      <c r="D764" s="45" t="str">
        <f>IF(A765&gt;0,C764/'Output Report'!$H$70,"")</f>
        <v/>
      </c>
      <c r="E764" s="46" t="str">
        <f>IF(A765&gt;0,SUM($D$2:D764),"")</f>
        <v/>
      </c>
      <c r="F764" t="str">
        <f t="shared" si="37"/>
        <v/>
      </c>
      <c r="G764" t="str">
        <f t="shared" si="35"/>
        <v/>
      </c>
    </row>
    <row r="765" spans="1:7" x14ac:dyDescent="0.3">
      <c r="A765">
        <f>IF('Output Report'!$H$71+2&gt;ROW(A764),ROW(A764),0)</f>
        <v>0</v>
      </c>
      <c r="B765" t="str">
        <f>IF(AND(A765&gt;0,A765&lt;='Output Report'!$H$71+1),B764+MC_hist!$M$11/'Output Report'!$H$71,"")</f>
        <v/>
      </c>
      <c r="C765" t="str">
        <f t="shared" si="36"/>
        <v/>
      </c>
      <c r="D765" s="45" t="str">
        <f>IF(A766&gt;0,C765/'Output Report'!$H$70,"")</f>
        <v/>
      </c>
      <c r="E765" s="46" t="str">
        <f>IF(A766&gt;0,SUM($D$2:D765),"")</f>
        <v/>
      </c>
      <c r="F765" t="str">
        <f t="shared" si="37"/>
        <v/>
      </c>
      <c r="G765" t="str">
        <f t="shared" si="35"/>
        <v/>
      </c>
    </row>
    <row r="766" spans="1:7" x14ac:dyDescent="0.3">
      <c r="A766">
        <f>IF('Output Report'!$H$71+2&gt;ROW(A765),ROW(A765),0)</f>
        <v>0</v>
      </c>
      <c r="B766" t="str">
        <f>IF(AND(A766&gt;0,A766&lt;='Output Report'!$H$71+1),B765+MC_hist!$M$11/'Output Report'!$H$71,"")</f>
        <v/>
      </c>
      <c r="C766" t="str">
        <f t="shared" si="36"/>
        <v/>
      </c>
      <c r="D766" s="45" t="str">
        <f>IF(A767&gt;0,C766/'Output Report'!$H$70,"")</f>
        <v/>
      </c>
      <c r="E766" s="46" t="str">
        <f>IF(A767&gt;0,SUM($D$2:D766),"")</f>
        <v/>
      </c>
      <c r="F766" t="str">
        <f t="shared" si="37"/>
        <v/>
      </c>
      <c r="G766" t="str">
        <f t="shared" si="35"/>
        <v/>
      </c>
    </row>
    <row r="767" spans="1:7" x14ac:dyDescent="0.3">
      <c r="A767">
        <f>IF('Output Report'!$H$71+2&gt;ROW(A766),ROW(A766),0)</f>
        <v>0</v>
      </c>
      <c r="B767" t="str">
        <f>IF(AND(A767&gt;0,A767&lt;='Output Report'!$H$71+1),B766+MC_hist!$M$11/'Output Report'!$H$71,"")</f>
        <v/>
      </c>
      <c r="C767" t="str">
        <f t="shared" si="36"/>
        <v/>
      </c>
      <c r="D767" s="45" t="str">
        <f>IF(A768&gt;0,C767/'Output Report'!$H$70,"")</f>
        <v/>
      </c>
      <c r="E767" s="46" t="str">
        <f>IF(A768&gt;0,SUM($D$2:D767),"")</f>
        <v/>
      </c>
      <c r="F767" t="str">
        <f t="shared" si="37"/>
        <v/>
      </c>
      <c r="G767" t="str">
        <f t="shared" si="35"/>
        <v/>
      </c>
    </row>
    <row r="768" spans="1:7" x14ac:dyDescent="0.3">
      <c r="A768">
        <f>IF('Output Report'!$H$71+2&gt;ROW(A767),ROW(A767),0)</f>
        <v>0</v>
      </c>
      <c r="B768" t="str">
        <f>IF(AND(A768&gt;0,A768&lt;='Output Report'!$H$71+1),B767+MC_hist!$M$11/'Output Report'!$H$71,"")</f>
        <v/>
      </c>
      <c r="C768" t="str">
        <f t="shared" si="36"/>
        <v/>
      </c>
      <c r="D768" s="45" t="str">
        <f>IF(A769&gt;0,C768/'Output Report'!$H$70,"")</f>
        <v/>
      </c>
      <c r="E768" s="46" t="str">
        <f>IF(A769&gt;0,SUM($D$2:D768),"")</f>
        <v/>
      </c>
      <c r="F768" t="str">
        <f t="shared" si="37"/>
        <v/>
      </c>
      <c r="G768" t="str">
        <f t="shared" si="35"/>
        <v/>
      </c>
    </row>
    <row r="769" spans="1:7" x14ac:dyDescent="0.3">
      <c r="A769">
        <f>IF('Output Report'!$H$71+2&gt;ROW(A768),ROW(A768),0)</f>
        <v>0</v>
      </c>
      <c r="B769" t="str">
        <f>IF(AND(A769&gt;0,A769&lt;='Output Report'!$H$71+1),B768+MC_hist!$M$11/'Output Report'!$H$71,"")</f>
        <v/>
      </c>
      <c r="C769" t="str">
        <f t="shared" si="36"/>
        <v/>
      </c>
      <c r="D769" s="45" t="str">
        <f>IF(A770&gt;0,C769/'Output Report'!$H$70,"")</f>
        <v/>
      </c>
      <c r="E769" s="46" t="str">
        <f>IF(A770&gt;0,SUM($D$2:D769),"")</f>
        <v/>
      </c>
      <c r="F769" t="str">
        <f t="shared" si="37"/>
        <v/>
      </c>
      <c r="G769" t="str">
        <f t="shared" si="35"/>
        <v/>
      </c>
    </row>
    <row r="770" spans="1:7" x14ac:dyDescent="0.3">
      <c r="A770">
        <f>IF('Output Report'!$H$71+2&gt;ROW(A769),ROW(A769),0)</f>
        <v>0</v>
      </c>
      <c r="B770" t="str">
        <f>IF(AND(A770&gt;0,A770&lt;='Output Report'!$H$71+1),B769+MC_hist!$M$11/'Output Report'!$H$71,"")</f>
        <v/>
      </c>
      <c r="C770" t="str">
        <f t="shared" si="36"/>
        <v/>
      </c>
      <c r="D770" s="45" t="str">
        <f>IF(A771&gt;0,C770/'Output Report'!$H$70,"")</f>
        <v/>
      </c>
      <c r="E770" s="46" t="str">
        <f>IF(A771&gt;0,SUM($D$2:D770),"")</f>
        <v/>
      </c>
      <c r="F770" t="str">
        <f t="shared" si="37"/>
        <v/>
      </c>
      <c r="G770" t="str">
        <f t="shared" si="35"/>
        <v/>
      </c>
    </row>
    <row r="771" spans="1:7" x14ac:dyDescent="0.3">
      <c r="A771">
        <f>IF('Output Report'!$H$71+2&gt;ROW(A770),ROW(A770),0)</f>
        <v>0</v>
      </c>
      <c r="B771" t="str">
        <f>IF(AND(A771&gt;0,A771&lt;='Output Report'!$H$71+1),B770+MC_hist!$M$11/'Output Report'!$H$71,"")</f>
        <v/>
      </c>
      <c r="C771" t="str">
        <f t="shared" si="36"/>
        <v/>
      </c>
      <c r="D771" s="45" t="str">
        <f>IF(A772&gt;0,C771/'Output Report'!$H$70,"")</f>
        <v/>
      </c>
      <c r="E771" s="46" t="str">
        <f>IF(A772&gt;0,SUM($D$2:D771),"")</f>
        <v/>
      </c>
      <c r="F771" t="str">
        <f t="shared" si="37"/>
        <v/>
      </c>
      <c r="G771" t="str">
        <f t="shared" ref="G771:G834" si="38">IF(B771&lt;=0,E771,"")</f>
        <v/>
      </c>
    </row>
    <row r="772" spans="1:7" x14ac:dyDescent="0.3">
      <c r="A772">
        <f>IF('Output Report'!$H$71+2&gt;ROW(A771),ROW(A771),0)</f>
        <v>0</v>
      </c>
      <c r="B772" t="str">
        <f>IF(AND(A772&gt;0,A772&lt;='Output Report'!$H$71+1),B771+MC_hist!$M$11/'Output Report'!$H$71,"")</f>
        <v/>
      </c>
      <c r="C772" t="str">
        <f t="shared" si="36"/>
        <v/>
      </c>
      <c r="D772" s="45" t="str">
        <f>IF(A773&gt;0,C772/'Output Report'!$H$70,"")</f>
        <v/>
      </c>
      <c r="E772" s="46" t="str">
        <f>IF(A773&gt;0,SUM($D$2:D772),"")</f>
        <v/>
      </c>
      <c r="F772" t="str">
        <f t="shared" si="37"/>
        <v/>
      </c>
      <c r="G772" t="str">
        <f t="shared" si="38"/>
        <v/>
      </c>
    </row>
    <row r="773" spans="1:7" x14ac:dyDescent="0.3">
      <c r="A773">
        <f>IF('Output Report'!$H$71+2&gt;ROW(A772),ROW(A772),0)</f>
        <v>0</v>
      </c>
      <c r="B773" t="str">
        <f>IF(AND(A773&gt;0,A773&lt;='Output Report'!$H$71+1),B772+MC_hist!$M$11/'Output Report'!$H$71,"")</f>
        <v/>
      </c>
      <c r="C773" t="str">
        <f t="shared" si="36"/>
        <v/>
      </c>
      <c r="D773" s="45" t="str">
        <f>IF(A774&gt;0,C773/'Output Report'!$H$70,"")</f>
        <v/>
      </c>
      <c r="E773" s="46" t="str">
        <f>IF(A774&gt;0,SUM($D$2:D773),"")</f>
        <v/>
      </c>
      <c r="F773" t="str">
        <f t="shared" si="37"/>
        <v/>
      </c>
      <c r="G773" t="str">
        <f t="shared" si="38"/>
        <v/>
      </c>
    </row>
    <row r="774" spans="1:7" x14ac:dyDescent="0.3">
      <c r="A774">
        <f>IF('Output Report'!$H$71+2&gt;ROW(A773),ROW(A773),0)</f>
        <v>0</v>
      </c>
      <c r="B774" t="str">
        <f>IF(AND(A774&gt;0,A774&lt;='Output Report'!$H$71+1),B773+MC_hist!$M$11/'Output Report'!$H$71,"")</f>
        <v/>
      </c>
      <c r="C774" t="str">
        <f t="shared" si="36"/>
        <v/>
      </c>
      <c r="D774" s="45" t="str">
        <f>IF(A775&gt;0,C774/'Output Report'!$H$70,"")</f>
        <v/>
      </c>
      <c r="E774" s="46" t="str">
        <f>IF(A775&gt;0,SUM($D$2:D774),"")</f>
        <v/>
      </c>
      <c r="F774" t="str">
        <f t="shared" si="37"/>
        <v/>
      </c>
      <c r="G774" t="str">
        <f t="shared" si="38"/>
        <v/>
      </c>
    </row>
    <row r="775" spans="1:7" x14ac:dyDescent="0.3">
      <c r="A775">
        <f>IF('Output Report'!$H$71+2&gt;ROW(A774),ROW(A774),0)</f>
        <v>0</v>
      </c>
      <c r="B775" t="str">
        <f>IF(AND(A775&gt;0,A775&lt;='Output Report'!$H$71+1),B774+MC_hist!$M$11/'Output Report'!$H$71,"")</f>
        <v/>
      </c>
      <c r="C775" t="str">
        <f t="shared" si="36"/>
        <v/>
      </c>
      <c r="D775" s="45" t="str">
        <f>IF(A776&gt;0,C775/'Output Report'!$H$70,"")</f>
        <v/>
      </c>
      <c r="E775" s="46" t="str">
        <f>IF(A776&gt;0,SUM($D$2:D775),"")</f>
        <v/>
      </c>
      <c r="F775" t="str">
        <f t="shared" si="37"/>
        <v/>
      </c>
      <c r="G775" t="str">
        <f t="shared" si="38"/>
        <v/>
      </c>
    </row>
    <row r="776" spans="1:7" x14ac:dyDescent="0.3">
      <c r="A776">
        <f>IF('Output Report'!$H$71+2&gt;ROW(A775),ROW(A775),0)</f>
        <v>0</v>
      </c>
      <c r="B776" t="str">
        <f>IF(AND(A776&gt;0,A776&lt;='Output Report'!$H$71+1),B775+MC_hist!$M$11/'Output Report'!$H$71,"")</f>
        <v/>
      </c>
      <c r="C776" t="str">
        <f t="shared" si="36"/>
        <v/>
      </c>
      <c r="D776" s="45" t="str">
        <f>IF(A777&gt;0,C776/'Output Report'!$H$70,"")</f>
        <v/>
      </c>
      <c r="E776" s="46" t="str">
        <f>IF(A777&gt;0,SUM($D$2:D776),"")</f>
        <v/>
      </c>
      <c r="F776" t="str">
        <f t="shared" si="37"/>
        <v/>
      </c>
      <c r="G776" t="str">
        <f t="shared" si="38"/>
        <v/>
      </c>
    </row>
    <row r="777" spans="1:7" x14ac:dyDescent="0.3">
      <c r="A777">
        <f>IF('Output Report'!$H$71+2&gt;ROW(A776),ROW(A776),0)</f>
        <v>0</v>
      </c>
      <c r="B777" t="str">
        <f>IF(AND(A777&gt;0,A777&lt;='Output Report'!$H$71+1),B776+MC_hist!$M$11/'Output Report'!$H$71,"")</f>
        <v/>
      </c>
      <c r="C777" t="str">
        <f t="shared" si="36"/>
        <v/>
      </c>
      <c r="D777" s="45" t="str">
        <f>IF(A778&gt;0,C777/'Output Report'!$H$70,"")</f>
        <v/>
      </c>
      <c r="E777" s="46" t="str">
        <f>IF(A778&gt;0,SUM($D$2:D777),"")</f>
        <v/>
      </c>
      <c r="F777" t="str">
        <f t="shared" si="37"/>
        <v/>
      </c>
      <c r="G777" t="str">
        <f t="shared" si="38"/>
        <v/>
      </c>
    </row>
    <row r="778" spans="1:7" x14ac:dyDescent="0.3">
      <c r="A778">
        <f>IF('Output Report'!$H$71+2&gt;ROW(A777),ROW(A777),0)</f>
        <v>0</v>
      </c>
      <c r="B778" t="str">
        <f>IF(AND(A778&gt;0,A778&lt;='Output Report'!$H$71+1),B777+MC_hist!$M$11/'Output Report'!$H$71,"")</f>
        <v/>
      </c>
      <c r="C778" t="str">
        <f t="shared" si="36"/>
        <v/>
      </c>
      <c r="D778" s="45" t="str">
        <f>IF(A779&gt;0,C778/'Output Report'!$H$70,"")</f>
        <v/>
      </c>
      <c r="E778" s="46" t="str">
        <f>IF(A779&gt;0,SUM($D$2:D778),"")</f>
        <v/>
      </c>
      <c r="F778" t="str">
        <f t="shared" si="37"/>
        <v/>
      </c>
      <c r="G778" t="str">
        <f t="shared" si="38"/>
        <v/>
      </c>
    </row>
    <row r="779" spans="1:7" x14ac:dyDescent="0.3">
      <c r="A779">
        <f>IF('Output Report'!$H$71+2&gt;ROW(A778),ROW(A778),0)</f>
        <v>0</v>
      </c>
      <c r="B779" t="str">
        <f>IF(AND(A779&gt;0,A779&lt;='Output Report'!$H$71+1),B778+MC_hist!$M$11/'Output Report'!$H$71,"")</f>
        <v/>
      </c>
      <c r="C779" t="str">
        <f t="shared" si="36"/>
        <v/>
      </c>
      <c r="D779" s="45" t="str">
        <f>IF(A780&gt;0,C779/'Output Report'!$H$70,"")</f>
        <v/>
      </c>
      <c r="E779" s="46" t="str">
        <f>IF(A780&gt;0,SUM($D$2:D779),"")</f>
        <v/>
      </c>
      <c r="F779" t="str">
        <f t="shared" si="37"/>
        <v/>
      </c>
      <c r="G779" t="str">
        <f t="shared" si="38"/>
        <v/>
      </c>
    </row>
    <row r="780" spans="1:7" x14ac:dyDescent="0.3">
      <c r="A780">
        <f>IF('Output Report'!$H$71+2&gt;ROW(A779),ROW(A779),0)</f>
        <v>0</v>
      </c>
      <c r="B780" t="str">
        <f>IF(AND(A780&gt;0,A780&lt;='Output Report'!$H$71+1),B779+MC_hist!$M$11/'Output Report'!$H$71,"")</f>
        <v/>
      </c>
      <c r="C780" t="str">
        <f t="shared" si="36"/>
        <v/>
      </c>
      <c r="D780" s="45" t="str">
        <f>IF(A781&gt;0,C780/'Output Report'!$H$70,"")</f>
        <v/>
      </c>
      <c r="E780" s="46" t="str">
        <f>IF(A781&gt;0,SUM($D$2:D780),"")</f>
        <v/>
      </c>
      <c r="F780" t="str">
        <f t="shared" si="37"/>
        <v/>
      </c>
      <c r="G780" t="str">
        <f t="shared" si="38"/>
        <v/>
      </c>
    </row>
    <row r="781" spans="1:7" x14ac:dyDescent="0.3">
      <c r="A781">
        <f>IF('Output Report'!$H$71+2&gt;ROW(A780),ROW(A780),0)</f>
        <v>0</v>
      </c>
      <c r="B781" t="str">
        <f>IF(AND(A781&gt;0,A781&lt;='Output Report'!$H$71+1),B780+MC_hist!$M$11/'Output Report'!$H$71,"")</f>
        <v/>
      </c>
      <c r="C781" t="str">
        <f t="shared" si="36"/>
        <v/>
      </c>
      <c r="D781" s="45" t="str">
        <f>IF(A782&gt;0,C781/'Output Report'!$H$70,"")</f>
        <v/>
      </c>
      <c r="E781" s="46" t="str">
        <f>IF(A782&gt;0,SUM($D$2:D781),"")</f>
        <v/>
      </c>
      <c r="F781" t="str">
        <f t="shared" si="37"/>
        <v/>
      </c>
      <c r="G781" t="str">
        <f t="shared" si="38"/>
        <v/>
      </c>
    </row>
    <row r="782" spans="1:7" x14ac:dyDescent="0.3">
      <c r="A782">
        <f>IF('Output Report'!$H$71+2&gt;ROW(A781),ROW(A781),0)</f>
        <v>0</v>
      </c>
      <c r="B782" t="str">
        <f>IF(AND(A782&gt;0,A782&lt;='Output Report'!$H$71+1),B781+MC_hist!$M$11/'Output Report'!$H$71,"")</f>
        <v/>
      </c>
      <c r="C782" t="str">
        <f t="shared" si="36"/>
        <v/>
      </c>
      <c r="D782" s="45" t="str">
        <f>IF(A783&gt;0,C782/'Output Report'!$H$70,"")</f>
        <v/>
      </c>
      <c r="E782" s="46" t="str">
        <f>IF(A783&gt;0,SUM($D$2:D782),"")</f>
        <v/>
      </c>
      <c r="F782" t="str">
        <f t="shared" si="37"/>
        <v/>
      </c>
      <c r="G782" t="str">
        <f t="shared" si="38"/>
        <v/>
      </c>
    </row>
    <row r="783" spans="1:7" x14ac:dyDescent="0.3">
      <c r="A783">
        <f>IF('Output Report'!$H$71+2&gt;ROW(A782),ROW(A782),0)</f>
        <v>0</v>
      </c>
      <c r="B783" t="str">
        <f>IF(AND(A783&gt;0,A783&lt;='Output Report'!$H$71+1),B782+MC_hist!$M$11/'Output Report'!$H$71,"")</f>
        <v/>
      </c>
      <c r="C783" t="str">
        <f t="shared" si="36"/>
        <v/>
      </c>
      <c r="D783" s="45" t="str">
        <f>IF(A784&gt;0,C783/'Output Report'!$H$70,"")</f>
        <v/>
      </c>
      <c r="E783" s="46" t="str">
        <f>IF(A784&gt;0,SUM($D$2:D783),"")</f>
        <v/>
      </c>
      <c r="F783" t="str">
        <f t="shared" si="37"/>
        <v/>
      </c>
      <c r="G783" t="str">
        <f t="shared" si="38"/>
        <v/>
      </c>
    </row>
    <row r="784" spans="1:7" x14ac:dyDescent="0.3">
      <c r="A784">
        <f>IF('Output Report'!$H$71+2&gt;ROW(A783),ROW(A783),0)</f>
        <v>0</v>
      </c>
      <c r="B784" t="str">
        <f>IF(AND(A784&gt;0,A784&lt;='Output Report'!$H$71+1),B783+MC_hist!$M$11/'Output Report'!$H$71,"")</f>
        <v/>
      </c>
      <c r="C784" t="str">
        <f t="shared" si="36"/>
        <v/>
      </c>
      <c r="D784" s="45" t="str">
        <f>IF(A785&gt;0,C784/'Output Report'!$H$70,"")</f>
        <v/>
      </c>
      <c r="E784" s="46" t="str">
        <f>IF(A785&gt;0,SUM($D$2:D784),"")</f>
        <v/>
      </c>
      <c r="F784" t="str">
        <f t="shared" si="37"/>
        <v/>
      </c>
      <c r="G784" t="str">
        <f t="shared" si="38"/>
        <v/>
      </c>
    </row>
    <row r="785" spans="1:7" x14ac:dyDescent="0.3">
      <c r="A785">
        <f>IF('Output Report'!$H$71+2&gt;ROW(A784),ROW(A784),0)</f>
        <v>0</v>
      </c>
      <c r="B785" t="str">
        <f>IF(AND(A785&gt;0,A785&lt;='Output Report'!$H$71+1),B784+MC_hist!$M$11/'Output Report'!$H$71,"")</f>
        <v/>
      </c>
      <c r="C785" t="str">
        <f t="shared" si="36"/>
        <v/>
      </c>
      <c r="D785" s="45" t="str">
        <f>IF(A786&gt;0,C785/'Output Report'!$H$70,"")</f>
        <v/>
      </c>
      <c r="E785" s="46" t="str">
        <f>IF(A786&gt;0,SUM($D$2:D785),"")</f>
        <v/>
      </c>
      <c r="F785" t="str">
        <f t="shared" si="37"/>
        <v/>
      </c>
      <c r="G785" t="str">
        <f t="shared" si="38"/>
        <v/>
      </c>
    </row>
    <row r="786" spans="1:7" x14ac:dyDescent="0.3">
      <c r="A786">
        <f>IF('Output Report'!$H$71+2&gt;ROW(A785),ROW(A785),0)</f>
        <v>0</v>
      </c>
      <c r="B786" t="str">
        <f>IF(AND(A786&gt;0,A786&lt;='Output Report'!$H$71+1),B785+MC_hist!$M$11/'Output Report'!$H$71,"")</f>
        <v/>
      </c>
      <c r="C786" t="str">
        <f t="shared" si="36"/>
        <v/>
      </c>
      <c r="D786" s="45" t="str">
        <f>IF(A787&gt;0,C786/'Output Report'!$H$70,"")</f>
        <v/>
      </c>
      <c r="E786" s="46" t="str">
        <f>IF(A787&gt;0,SUM($D$2:D786),"")</f>
        <v/>
      </c>
      <c r="F786" t="str">
        <f t="shared" si="37"/>
        <v/>
      </c>
      <c r="G786" t="str">
        <f t="shared" si="38"/>
        <v/>
      </c>
    </row>
    <row r="787" spans="1:7" x14ac:dyDescent="0.3">
      <c r="A787">
        <f>IF('Output Report'!$H$71+2&gt;ROW(A786),ROW(A786),0)</f>
        <v>0</v>
      </c>
      <c r="B787" t="str">
        <f>IF(AND(A787&gt;0,A787&lt;='Output Report'!$H$71+1),B786+MC_hist!$M$11/'Output Report'!$H$71,"")</f>
        <v/>
      </c>
      <c r="C787" t="str">
        <f t="shared" si="36"/>
        <v/>
      </c>
      <c r="D787" s="45" t="str">
        <f>IF(A788&gt;0,C787/'Output Report'!$H$70,"")</f>
        <v/>
      </c>
      <c r="E787" s="46" t="str">
        <f>IF(A788&gt;0,SUM($D$2:D787),"")</f>
        <v/>
      </c>
      <c r="F787" t="str">
        <f t="shared" si="37"/>
        <v/>
      </c>
      <c r="G787" t="str">
        <f t="shared" si="38"/>
        <v/>
      </c>
    </row>
    <row r="788" spans="1:7" x14ac:dyDescent="0.3">
      <c r="A788">
        <f>IF('Output Report'!$H$71+2&gt;ROW(A787),ROW(A787),0)</f>
        <v>0</v>
      </c>
      <c r="B788" t="str">
        <f>IF(AND(A788&gt;0,A788&lt;='Output Report'!$H$71+1),B787+MC_hist!$M$11/'Output Report'!$H$71,"")</f>
        <v/>
      </c>
      <c r="C788" t="str">
        <f t="shared" si="36"/>
        <v/>
      </c>
      <c r="D788" s="45" t="str">
        <f>IF(A789&gt;0,C788/'Output Report'!$H$70,"")</f>
        <v/>
      </c>
      <c r="E788" s="46" t="str">
        <f>IF(A789&gt;0,SUM($D$2:D788),"")</f>
        <v/>
      </c>
      <c r="F788" t="str">
        <f t="shared" si="37"/>
        <v/>
      </c>
      <c r="G788" t="str">
        <f t="shared" si="38"/>
        <v/>
      </c>
    </row>
    <row r="789" spans="1:7" x14ac:dyDescent="0.3">
      <c r="A789">
        <f>IF('Output Report'!$H$71+2&gt;ROW(A788),ROW(A788),0)</f>
        <v>0</v>
      </c>
      <c r="B789" t="str">
        <f>IF(AND(A789&gt;0,A789&lt;='Output Report'!$H$71+1),B788+MC_hist!$M$11/'Output Report'!$H$71,"")</f>
        <v/>
      </c>
      <c r="C789" t="str">
        <f t="shared" si="36"/>
        <v/>
      </c>
      <c r="D789" s="45" t="str">
        <f>IF(A790&gt;0,C789/'Output Report'!$H$70,"")</f>
        <v/>
      </c>
      <c r="E789" s="46" t="str">
        <f>IF(A790&gt;0,SUM($D$2:D789),"")</f>
        <v/>
      </c>
      <c r="F789" t="str">
        <f t="shared" si="37"/>
        <v/>
      </c>
      <c r="G789" t="str">
        <f t="shared" si="38"/>
        <v/>
      </c>
    </row>
    <row r="790" spans="1:7" x14ac:dyDescent="0.3">
      <c r="A790">
        <f>IF('Output Report'!$H$71+2&gt;ROW(A789),ROW(A789),0)</f>
        <v>0</v>
      </c>
      <c r="B790" t="str">
        <f>IF(AND(A790&gt;0,A790&lt;='Output Report'!$H$71+1),B789+MC_hist!$M$11/'Output Report'!$H$71,"")</f>
        <v/>
      </c>
      <c r="C790" t="str">
        <f t="shared" si="36"/>
        <v/>
      </c>
      <c r="D790" s="45" t="str">
        <f>IF(A791&gt;0,C790/'Output Report'!$H$70,"")</f>
        <v/>
      </c>
      <c r="E790" s="46" t="str">
        <f>IF(A791&gt;0,SUM($D$2:D790),"")</f>
        <v/>
      </c>
      <c r="F790" t="str">
        <f t="shared" si="37"/>
        <v/>
      </c>
      <c r="G790" t="str">
        <f t="shared" si="38"/>
        <v/>
      </c>
    </row>
    <row r="791" spans="1:7" x14ac:dyDescent="0.3">
      <c r="A791">
        <f>IF('Output Report'!$H$71+2&gt;ROW(A790),ROW(A790),0)</f>
        <v>0</v>
      </c>
      <c r="B791" t="str">
        <f>IF(AND(A791&gt;0,A791&lt;='Output Report'!$H$71+1),B790+MC_hist!$M$11/'Output Report'!$H$71,"")</f>
        <v/>
      </c>
      <c r="C791" t="str">
        <f t="shared" si="36"/>
        <v/>
      </c>
      <c r="D791" s="45" t="str">
        <f>IF(A792&gt;0,C791/'Output Report'!$H$70,"")</f>
        <v/>
      </c>
      <c r="E791" s="46" t="str">
        <f>IF(A792&gt;0,SUM($D$2:D791),"")</f>
        <v/>
      </c>
      <c r="F791" t="str">
        <f t="shared" si="37"/>
        <v/>
      </c>
      <c r="G791" t="str">
        <f t="shared" si="38"/>
        <v/>
      </c>
    </row>
    <row r="792" spans="1:7" x14ac:dyDescent="0.3">
      <c r="A792">
        <f>IF('Output Report'!$H$71+2&gt;ROW(A791),ROW(A791),0)</f>
        <v>0</v>
      </c>
      <c r="B792" t="str">
        <f>IF(AND(A792&gt;0,A792&lt;='Output Report'!$H$71+1),B791+MC_hist!$M$11/'Output Report'!$H$71,"")</f>
        <v/>
      </c>
      <c r="C792" t="str">
        <f t="shared" si="36"/>
        <v/>
      </c>
      <c r="D792" s="45" t="str">
        <f>IF(A793&gt;0,C792/'Output Report'!$H$70,"")</f>
        <v/>
      </c>
      <c r="E792" s="46" t="str">
        <f>IF(A793&gt;0,SUM($D$2:D792),"")</f>
        <v/>
      </c>
      <c r="F792" t="str">
        <f t="shared" si="37"/>
        <v/>
      </c>
      <c r="G792" t="str">
        <f t="shared" si="38"/>
        <v/>
      </c>
    </row>
    <row r="793" spans="1:7" x14ac:dyDescent="0.3">
      <c r="A793">
        <f>IF('Output Report'!$H$71+2&gt;ROW(A792),ROW(A792),0)</f>
        <v>0</v>
      </c>
      <c r="B793" t="str">
        <f>IF(AND(A793&gt;0,A793&lt;='Output Report'!$H$71+1),B792+MC_hist!$M$11/'Output Report'!$H$71,"")</f>
        <v/>
      </c>
      <c r="C793" t="str">
        <f t="shared" si="36"/>
        <v/>
      </c>
      <c r="D793" s="45" t="str">
        <f>IF(A794&gt;0,C793/'Output Report'!$H$70,"")</f>
        <v/>
      </c>
      <c r="E793" s="46" t="str">
        <f>IF(A794&gt;0,SUM($D$2:D793),"")</f>
        <v/>
      </c>
      <c r="F793" t="str">
        <f t="shared" si="37"/>
        <v/>
      </c>
      <c r="G793" t="str">
        <f t="shared" si="38"/>
        <v/>
      </c>
    </row>
    <row r="794" spans="1:7" x14ac:dyDescent="0.3">
      <c r="A794">
        <f>IF('Output Report'!$H$71+2&gt;ROW(A793),ROW(A793),0)</f>
        <v>0</v>
      </c>
      <c r="B794" t="str">
        <f>IF(AND(A794&gt;0,A794&lt;='Output Report'!$H$71+1),B793+MC_hist!$M$11/'Output Report'!$H$71,"")</f>
        <v/>
      </c>
      <c r="C794" t="str">
        <f t="shared" si="36"/>
        <v/>
      </c>
      <c r="D794" s="45" t="str">
        <f>IF(A795&gt;0,C794/'Output Report'!$H$70,"")</f>
        <v/>
      </c>
      <c r="E794" s="46" t="str">
        <f>IF(A795&gt;0,SUM($D$2:D794),"")</f>
        <v/>
      </c>
      <c r="F794" t="str">
        <f t="shared" si="37"/>
        <v/>
      </c>
      <c r="G794" t="str">
        <f t="shared" si="38"/>
        <v/>
      </c>
    </row>
    <row r="795" spans="1:7" x14ac:dyDescent="0.3">
      <c r="A795">
        <f>IF('Output Report'!$H$71+2&gt;ROW(A794),ROW(A794),0)</f>
        <v>0</v>
      </c>
      <c r="B795" t="str">
        <f>IF(AND(A795&gt;0,A795&lt;='Output Report'!$H$71+1),B794+MC_hist!$M$11/'Output Report'!$H$71,"")</f>
        <v/>
      </c>
      <c r="C795" t="str">
        <f t="shared" si="36"/>
        <v/>
      </c>
      <c r="D795" s="45" t="str">
        <f>IF(A796&gt;0,C795/'Output Report'!$H$70,"")</f>
        <v/>
      </c>
      <c r="E795" s="46" t="str">
        <f>IF(A796&gt;0,SUM($D$2:D795),"")</f>
        <v/>
      </c>
      <c r="F795" t="str">
        <f t="shared" si="37"/>
        <v/>
      </c>
      <c r="G795" t="str">
        <f t="shared" si="38"/>
        <v/>
      </c>
    </row>
    <row r="796" spans="1:7" x14ac:dyDescent="0.3">
      <c r="A796">
        <f>IF('Output Report'!$H$71+2&gt;ROW(A795),ROW(A795),0)</f>
        <v>0</v>
      </c>
      <c r="B796" t="str">
        <f>IF(AND(A796&gt;0,A796&lt;='Output Report'!$H$71+1),B795+MC_hist!$M$11/'Output Report'!$H$71,"")</f>
        <v/>
      </c>
      <c r="C796" t="str">
        <f t="shared" si="36"/>
        <v/>
      </c>
      <c r="D796" s="45" t="str">
        <f>IF(A797&gt;0,C796/'Output Report'!$H$70,"")</f>
        <v/>
      </c>
      <c r="E796" s="46" t="str">
        <f>IF(A797&gt;0,SUM($D$2:D796),"")</f>
        <v/>
      </c>
      <c r="F796" t="str">
        <f t="shared" si="37"/>
        <v/>
      </c>
      <c r="G796" t="str">
        <f t="shared" si="38"/>
        <v/>
      </c>
    </row>
    <row r="797" spans="1:7" x14ac:dyDescent="0.3">
      <c r="A797">
        <f>IF('Output Report'!$H$71+2&gt;ROW(A796),ROW(A796),0)</f>
        <v>0</v>
      </c>
      <c r="B797" t="str">
        <f>IF(AND(A797&gt;0,A797&lt;='Output Report'!$H$71+1),B796+MC_hist!$M$11/'Output Report'!$H$71,"")</f>
        <v/>
      </c>
      <c r="C797" t="str">
        <f t="shared" si="36"/>
        <v/>
      </c>
      <c r="D797" s="45" t="str">
        <f>IF(A798&gt;0,C797/'Output Report'!$H$70,"")</f>
        <v/>
      </c>
      <c r="E797" s="46" t="str">
        <f>IF(A798&gt;0,SUM($D$2:D797),"")</f>
        <v/>
      </c>
      <c r="F797" t="str">
        <f t="shared" si="37"/>
        <v/>
      </c>
      <c r="G797" t="str">
        <f t="shared" si="38"/>
        <v/>
      </c>
    </row>
    <row r="798" spans="1:7" x14ac:dyDescent="0.3">
      <c r="A798">
        <f>IF('Output Report'!$H$71+2&gt;ROW(A797),ROW(A797),0)</f>
        <v>0</v>
      </c>
      <c r="B798" t="str">
        <f>IF(AND(A798&gt;0,A798&lt;='Output Report'!$H$71+1),B797+MC_hist!$M$11/'Output Report'!$H$71,"")</f>
        <v/>
      </c>
      <c r="C798" t="str">
        <f t="shared" si="36"/>
        <v/>
      </c>
      <c r="D798" s="45" t="str">
        <f>IF(A799&gt;0,C798/'Output Report'!$H$70,"")</f>
        <v/>
      </c>
      <c r="E798" s="46" t="str">
        <f>IF(A799&gt;0,SUM($D$2:D798),"")</f>
        <v/>
      </c>
      <c r="F798" t="str">
        <f t="shared" si="37"/>
        <v/>
      </c>
      <c r="G798" t="str">
        <f t="shared" si="38"/>
        <v/>
      </c>
    </row>
    <row r="799" spans="1:7" x14ac:dyDescent="0.3">
      <c r="A799">
        <f>IF('Output Report'!$H$71+2&gt;ROW(A798),ROW(A798),0)</f>
        <v>0</v>
      </c>
      <c r="B799" t="str">
        <f>IF(AND(A799&gt;0,A799&lt;='Output Report'!$H$71+1),B798+MC_hist!$M$11/'Output Report'!$H$71,"")</f>
        <v/>
      </c>
      <c r="C799" t="str">
        <f t="shared" si="36"/>
        <v/>
      </c>
      <c r="D799" s="45" t="str">
        <f>IF(A800&gt;0,C799/'Output Report'!$H$70,"")</f>
        <v/>
      </c>
      <c r="E799" s="46" t="str">
        <f>IF(A800&gt;0,SUM($D$2:D799),"")</f>
        <v/>
      </c>
      <c r="F799" t="str">
        <f t="shared" si="37"/>
        <v/>
      </c>
      <c r="G799" t="str">
        <f t="shared" si="38"/>
        <v/>
      </c>
    </row>
    <row r="800" spans="1:7" x14ac:dyDescent="0.3">
      <c r="A800">
        <f>IF('Output Report'!$H$71+2&gt;ROW(A799),ROW(A799),0)</f>
        <v>0</v>
      </c>
      <c r="B800" t="str">
        <f>IF(AND(A800&gt;0,A800&lt;='Output Report'!$H$71+1),B799+MC_hist!$M$11/'Output Report'!$H$71,"")</f>
        <v/>
      </c>
      <c r="C800" t="str">
        <f t="shared" si="36"/>
        <v/>
      </c>
      <c r="D800" s="45" t="str">
        <f>IF(A801&gt;0,C800/'Output Report'!$H$70,"")</f>
        <v/>
      </c>
      <c r="E800" s="46" t="str">
        <f>IF(A801&gt;0,SUM($D$2:D800),"")</f>
        <v/>
      </c>
      <c r="F800" t="str">
        <f t="shared" si="37"/>
        <v/>
      </c>
      <c r="G800" t="str">
        <f t="shared" si="38"/>
        <v/>
      </c>
    </row>
    <row r="801" spans="1:7" x14ac:dyDescent="0.3">
      <c r="A801">
        <f>IF('Output Report'!$H$71+2&gt;ROW(A800),ROW(A800),0)</f>
        <v>0</v>
      </c>
      <c r="B801" t="str">
        <f>IF(AND(A801&gt;0,A801&lt;='Output Report'!$H$71+1),B800+MC_hist!$M$11/'Output Report'!$H$71,"")</f>
        <v/>
      </c>
      <c r="C801" t="str">
        <f t="shared" si="36"/>
        <v/>
      </c>
      <c r="D801" s="45" t="str">
        <f>IF(A802&gt;0,C801/'Output Report'!$H$70,"")</f>
        <v/>
      </c>
      <c r="E801" s="46" t="str">
        <f>IF(A802&gt;0,SUM($D$2:D801),"")</f>
        <v/>
      </c>
      <c r="F801" t="str">
        <f t="shared" si="37"/>
        <v/>
      </c>
      <c r="G801" t="str">
        <f t="shared" si="38"/>
        <v/>
      </c>
    </row>
    <row r="802" spans="1:7" x14ac:dyDescent="0.3">
      <c r="A802">
        <f>IF('Output Report'!$H$71+2&gt;ROW(A801),ROW(A801),0)</f>
        <v>0</v>
      </c>
      <c r="B802" t="str">
        <f>IF(AND(A802&gt;0,A802&lt;='Output Report'!$H$71+1),B801+MC_hist!$M$11/'Output Report'!$H$71,"")</f>
        <v/>
      </c>
      <c r="C802" t="str">
        <f t="shared" si="36"/>
        <v/>
      </c>
      <c r="D802" s="45" t="str">
        <f>IF(A803&gt;0,C802/'Output Report'!$H$70,"")</f>
        <v/>
      </c>
      <c r="E802" s="46" t="str">
        <f>IF(A803&gt;0,SUM($D$2:D802),"")</f>
        <v/>
      </c>
      <c r="F802" t="str">
        <f t="shared" si="37"/>
        <v/>
      </c>
      <c r="G802" t="str">
        <f t="shared" si="38"/>
        <v/>
      </c>
    </row>
    <row r="803" spans="1:7" x14ac:dyDescent="0.3">
      <c r="A803">
        <f>IF('Output Report'!$H$71+2&gt;ROW(A802),ROW(A802),0)</f>
        <v>0</v>
      </c>
      <c r="B803" t="str">
        <f>IF(AND(A803&gt;0,A803&lt;='Output Report'!$H$71+1),B802+MC_hist!$M$11/'Output Report'!$H$71,"")</f>
        <v/>
      </c>
      <c r="C803" t="str">
        <f t="shared" si="36"/>
        <v/>
      </c>
      <c r="D803" s="45" t="str">
        <f>IF(A804&gt;0,C803/'Output Report'!$H$70,"")</f>
        <v/>
      </c>
      <c r="E803" s="46" t="str">
        <f>IF(A804&gt;0,SUM($D$2:D803),"")</f>
        <v/>
      </c>
      <c r="F803" t="str">
        <f t="shared" si="37"/>
        <v/>
      </c>
      <c r="G803" t="str">
        <f t="shared" si="38"/>
        <v/>
      </c>
    </row>
    <row r="804" spans="1:7" x14ac:dyDescent="0.3">
      <c r="A804">
        <f>IF('Output Report'!$H$71+2&gt;ROW(A803),ROW(A803),0)</f>
        <v>0</v>
      </c>
      <c r="B804" t="str">
        <f>IF(AND(A804&gt;0,A804&lt;='Output Report'!$H$71+1),B803+MC_hist!$M$11/'Output Report'!$H$71,"")</f>
        <v/>
      </c>
      <c r="C804" t="str">
        <f t="shared" si="36"/>
        <v/>
      </c>
      <c r="D804" s="45" t="str">
        <f>IF(A805&gt;0,C804/'Output Report'!$H$70,"")</f>
        <v/>
      </c>
      <c r="E804" s="46" t="str">
        <f>IF(A805&gt;0,SUM($D$2:D804),"")</f>
        <v/>
      </c>
      <c r="F804" t="str">
        <f t="shared" si="37"/>
        <v/>
      </c>
      <c r="G804" t="str">
        <f t="shared" si="38"/>
        <v/>
      </c>
    </row>
    <row r="805" spans="1:7" x14ac:dyDescent="0.3">
      <c r="A805">
        <f>IF('Output Report'!$H$71+2&gt;ROW(A804),ROW(A804),0)</f>
        <v>0</v>
      </c>
      <c r="B805" t="str">
        <f>IF(AND(A805&gt;0,A805&lt;='Output Report'!$H$71+1),B804+MC_hist!$M$11/'Output Report'!$H$71,"")</f>
        <v/>
      </c>
      <c r="C805" t="str">
        <f t="shared" si="36"/>
        <v/>
      </c>
      <c r="D805" s="45" t="str">
        <f>IF(A806&gt;0,C805/'Output Report'!$H$70,"")</f>
        <v/>
      </c>
      <c r="E805" s="46" t="str">
        <f>IF(A806&gt;0,SUM($D$2:D805),"")</f>
        <v/>
      </c>
      <c r="F805" t="str">
        <f t="shared" si="37"/>
        <v/>
      </c>
      <c r="G805" t="str">
        <f t="shared" si="38"/>
        <v/>
      </c>
    </row>
    <row r="806" spans="1:7" x14ac:dyDescent="0.3">
      <c r="A806">
        <f>IF('Output Report'!$H$71+2&gt;ROW(A805),ROW(A805),0)</f>
        <v>0</v>
      </c>
      <c r="B806" t="str">
        <f>IF(AND(A806&gt;0,A806&lt;='Output Report'!$H$71+1),B805+MC_hist!$M$11/'Output Report'!$H$71,"")</f>
        <v/>
      </c>
      <c r="C806" t="str">
        <f t="shared" si="36"/>
        <v/>
      </c>
      <c r="D806" s="45" t="str">
        <f>IF(A807&gt;0,C806/'Output Report'!$H$70,"")</f>
        <v/>
      </c>
      <c r="E806" s="46" t="str">
        <f>IF(A807&gt;0,SUM($D$2:D806),"")</f>
        <v/>
      </c>
      <c r="F806" t="str">
        <f t="shared" si="37"/>
        <v/>
      </c>
      <c r="G806" t="str">
        <f t="shared" si="38"/>
        <v/>
      </c>
    </row>
    <row r="807" spans="1:7" x14ac:dyDescent="0.3">
      <c r="A807">
        <f>IF('Output Report'!$H$71+2&gt;ROW(A806),ROW(A806),0)</f>
        <v>0</v>
      </c>
      <c r="B807" t="str">
        <f>IF(AND(A807&gt;0,A807&lt;='Output Report'!$H$71+1),B806+MC_hist!$M$11/'Output Report'!$H$71,"")</f>
        <v/>
      </c>
      <c r="C807" t="str">
        <f t="shared" si="36"/>
        <v/>
      </c>
      <c r="D807" s="45" t="str">
        <f>IF(A808&gt;0,C807/'Output Report'!$H$70,"")</f>
        <v/>
      </c>
      <c r="E807" s="46" t="str">
        <f>IF(A808&gt;0,SUM($D$2:D807),"")</f>
        <v/>
      </c>
      <c r="F807" t="str">
        <f t="shared" si="37"/>
        <v/>
      </c>
      <c r="G807" t="str">
        <f t="shared" si="38"/>
        <v/>
      </c>
    </row>
    <row r="808" spans="1:7" x14ac:dyDescent="0.3">
      <c r="A808">
        <f>IF('Output Report'!$H$71+2&gt;ROW(A807),ROW(A807),0)</f>
        <v>0</v>
      </c>
      <c r="B808" t="str">
        <f>IF(AND(A808&gt;0,A808&lt;='Output Report'!$H$71+1),B807+MC_hist!$M$11/'Output Report'!$H$71,"")</f>
        <v/>
      </c>
      <c r="C808" t="str">
        <f t="shared" si="36"/>
        <v/>
      </c>
      <c r="D808" s="45" t="str">
        <f>IF(A809&gt;0,C808/'Output Report'!$H$70,"")</f>
        <v/>
      </c>
      <c r="E808" s="46" t="str">
        <f>IF(A809&gt;0,SUM($D$2:D808),"")</f>
        <v/>
      </c>
      <c r="F808" t="str">
        <f t="shared" si="37"/>
        <v/>
      </c>
      <c r="G808" t="str">
        <f t="shared" si="38"/>
        <v/>
      </c>
    </row>
    <row r="809" spans="1:7" x14ac:dyDescent="0.3">
      <c r="A809">
        <f>IF('Output Report'!$H$71+2&gt;ROW(A808),ROW(A808),0)</f>
        <v>0</v>
      </c>
      <c r="B809" t="str">
        <f>IF(AND(A809&gt;0,A809&lt;='Output Report'!$H$71+1),B808+MC_hist!$M$11/'Output Report'!$H$71,"")</f>
        <v/>
      </c>
      <c r="C809" t="str">
        <f t="shared" si="36"/>
        <v/>
      </c>
      <c r="D809" s="45" t="str">
        <f>IF(A810&gt;0,C809/'Output Report'!$H$70,"")</f>
        <v/>
      </c>
      <c r="E809" s="46" t="str">
        <f>IF(A810&gt;0,SUM($D$2:D809),"")</f>
        <v/>
      </c>
      <c r="F809" t="str">
        <f t="shared" si="37"/>
        <v/>
      </c>
      <c r="G809" t="str">
        <f t="shared" si="38"/>
        <v/>
      </c>
    </row>
    <row r="810" spans="1:7" x14ac:dyDescent="0.3">
      <c r="A810">
        <f>IF('Output Report'!$H$71+2&gt;ROW(A809),ROW(A809),0)</f>
        <v>0</v>
      </c>
      <c r="B810" t="str">
        <f>IF(AND(A810&gt;0,A810&lt;='Output Report'!$H$71+1),B809+MC_hist!$M$11/'Output Report'!$H$71,"")</f>
        <v/>
      </c>
      <c r="C810" t="str">
        <f t="shared" si="36"/>
        <v/>
      </c>
      <c r="D810" s="45" t="str">
        <f>IF(A811&gt;0,C810/'Output Report'!$H$70,"")</f>
        <v/>
      </c>
      <c r="E810" s="46" t="str">
        <f>IF(A811&gt;0,SUM($D$2:D810),"")</f>
        <v/>
      </c>
      <c r="F810" t="str">
        <f t="shared" si="37"/>
        <v/>
      </c>
      <c r="G810" t="str">
        <f t="shared" si="38"/>
        <v/>
      </c>
    </row>
    <row r="811" spans="1:7" x14ac:dyDescent="0.3">
      <c r="A811">
        <f>IF('Output Report'!$H$71+2&gt;ROW(A810),ROW(A810),0)</f>
        <v>0</v>
      </c>
      <c r="B811" t="str">
        <f>IF(AND(A811&gt;0,A811&lt;='Output Report'!$H$71+1),B810+MC_hist!$M$11/'Output Report'!$H$71,"")</f>
        <v/>
      </c>
      <c r="C811" t="str">
        <f t="shared" si="36"/>
        <v/>
      </c>
      <c r="D811" s="45" t="str">
        <f>IF(A812&gt;0,C811/'Output Report'!$H$70,"")</f>
        <v/>
      </c>
      <c r="E811" s="46" t="str">
        <f>IF(A812&gt;0,SUM($D$2:D811),"")</f>
        <v/>
      </c>
      <c r="F811" t="str">
        <f t="shared" si="37"/>
        <v/>
      </c>
      <c r="G811" t="str">
        <f t="shared" si="38"/>
        <v/>
      </c>
    </row>
    <row r="812" spans="1:7" x14ac:dyDescent="0.3">
      <c r="A812">
        <f>IF('Output Report'!$H$71+2&gt;ROW(A811),ROW(A811),0)</f>
        <v>0</v>
      </c>
      <c r="B812" t="str">
        <f>IF(AND(A812&gt;0,A812&lt;='Output Report'!$H$71+1),B811+MC_hist!$M$11/'Output Report'!$H$71,"")</f>
        <v/>
      </c>
      <c r="C812" t="str">
        <f t="shared" si="36"/>
        <v/>
      </c>
      <c r="D812" s="45" t="str">
        <f>IF(A813&gt;0,C812/'Output Report'!$H$70,"")</f>
        <v/>
      </c>
      <c r="E812" s="46" t="str">
        <f>IF(A813&gt;0,SUM($D$2:D812),"")</f>
        <v/>
      </c>
      <c r="F812" t="str">
        <f t="shared" si="37"/>
        <v/>
      </c>
      <c r="G812" t="str">
        <f t="shared" si="38"/>
        <v/>
      </c>
    </row>
    <row r="813" spans="1:7" x14ac:dyDescent="0.3">
      <c r="A813">
        <f>IF('Output Report'!$H$71+2&gt;ROW(A812),ROW(A812),0)</f>
        <v>0</v>
      </c>
      <c r="B813" t="str">
        <f>IF(AND(A813&gt;0,A813&lt;='Output Report'!$H$71+1),B812+MC_hist!$M$11/'Output Report'!$H$71,"")</f>
        <v/>
      </c>
      <c r="C813" t="str">
        <f t="shared" si="36"/>
        <v/>
      </c>
      <c r="D813" s="45" t="str">
        <f>IF(A814&gt;0,C813/'Output Report'!$H$70,"")</f>
        <v/>
      </c>
      <c r="E813" s="46" t="str">
        <f>IF(A814&gt;0,SUM($D$2:D813),"")</f>
        <v/>
      </c>
      <c r="F813" t="str">
        <f t="shared" si="37"/>
        <v/>
      </c>
      <c r="G813" t="str">
        <f t="shared" si="38"/>
        <v/>
      </c>
    </row>
    <row r="814" spans="1:7" x14ac:dyDescent="0.3">
      <c r="A814">
        <f>IF('Output Report'!$H$71+2&gt;ROW(A813),ROW(A813),0)</f>
        <v>0</v>
      </c>
      <c r="B814" t="str">
        <f>IF(AND(A814&gt;0,A814&lt;='Output Report'!$H$71+1),B813+MC_hist!$M$11/'Output Report'!$H$71,"")</f>
        <v/>
      </c>
      <c r="C814" t="str">
        <f t="shared" ref="C814:C877" si="39">IF(A815&gt;0,COUNTIFS(data_sim,"&gt;"&amp;B814,data_sim,"&lt;="&amp;B815),"")</f>
        <v/>
      </c>
      <c r="D814" s="45" t="str">
        <f>IF(A815&gt;0,C814/'Output Report'!$H$70,"")</f>
        <v/>
      </c>
      <c r="E814" s="46" t="str">
        <f>IF(A815&gt;0,SUM($D$2:D814),"")</f>
        <v/>
      </c>
      <c r="F814" t="str">
        <f t="shared" ref="F814:F877" si="40">IF(B814&lt;=0,D814,"")</f>
        <v/>
      </c>
      <c r="G814" t="str">
        <f t="shared" si="38"/>
        <v/>
      </c>
    </row>
    <row r="815" spans="1:7" x14ac:dyDescent="0.3">
      <c r="A815">
        <f>IF('Output Report'!$H$71+2&gt;ROW(A814),ROW(A814),0)</f>
        <v>0</v>
      </c>
      <c r="B815" t="str">
        <f>IF(AND(A815&gt;0,A815&lt;='Output Report'!$H$71+1),B814+MC_hist!$M$11/'Output Report'!$H$71,"")</f>
        <v/>
      </c>
      <c r="C815" t="str">
        <f t="shared" si="39"/>
        <v/>
      </c>
      <c r="D815" s="45" t="str">
        <f>IF(A816&gt;0,C815/'Output Report'!$H$70,"")</f>
        <v/>
      </c>
      <c r="E815" s="46" t="str">
        <f>IF(A816&gt;0,SUM($D$2:D815),"")</f>
        <v/>
      </c>
      <c r="F815" t="str">
        <f t="shared" si="40"/>
        <v/>
      </c>
      <c r="G815" t="str">
        <f t="shared" si="38"/>
        <v/>
      </c>
    </row>
    <row r="816" spans="1:7" x14ac:dyDescent="0.3">
      <c r="A816">
        <f>IF('Output Report'!$H$71+2&gt;ROW(A815),ROW(A815),0)</f>
        <v>0</v>
      </c>
      <c r="B816" t="str">
        <f>IF(AND(A816&gt;0,A816&lt;='Output Report'!$H$71+1),B815+MC_hist!$M$11/'Output Report'!$H$71,"")</f>
        <v/>
      </c>
      <c r="C816" t="str">
        <f t="shared" si="39"/>
        <v/>
      </c>
      <c r="D816" s="45" t="str">
        <f>IF(A817&gt;0,C816/'Output Report'!$H$70,"")</f>
        <v/>
      </c>
      <c r="E816" s="46" t="str">
        <f>IF(A817&gt;0,SUM($D$2:D816),"")</f>
        <v/>
      </c>
      <c r="F816" t="str">
        <f t="shared" si="40"/>
        <v/>
      </c>
      <c r="G816" t="str">
        <f t="shared" si="38"/>
        <v/>
      </c>
    </row>
    <row r="817" spans="1:7" x14ac:dyDescent="0.3">
      <c r="A817">
        <f>IF('Output Report'!$H$71+2&gt;ROW(A816),ROW(A816),0)</f>
        <v>0</v>
      </c>
      <c r="B817" t="str">
        <f>IF(AND(A817&gt;0,A817&lt;='Output Report'!$H$71+1),B816+MC_hist!$M$11/'Output Report'!$H$71,"")</f>
        <v/>
      </c>
      <c r="C817" t="str">
        <f t="shared" si="39"/>
        <v/>
      </c>
      <c r="D817" s="45" t="str">
        <f>IF(A818&gt;0,C817/'Output Report'!$H$70,"")</f>
        <v/>
      </c>
      <c r="E817" s="46" t="str">
        <f>IF(A818&gt;0,SUM($D$2:D817),"")</f>
        <v/>
      </c>
      <c r="F817" t="str">
        <f t="shared" si="40"/>
        <v/>
      </c>
      <c r="G817" t="str">
        <f t="shared" si="38"/>
        <v/>
      </c>
    </row>
    <row r="818" spans="1:7" x14ac:dyDescent="0.3">
      <c r="A818">
        <f>IF('Output Report'!$H$71+2&gt;ROW(A817),ROW(A817),0)</f>
        <v>0</v>
      </c>
      <c r="B818" t="str">
        <f>IF(AND(A818&gt;0,A818&lt;='Output Report'!$H$71+1),B817+MC_hist!$M$11/'Output Report'!$H$71,"")</f>
        <v/>
      </c>
      <c r="C818" t="str">
        <f t="shared" si="39"/>
        <v/>
      </c>
      <c r="D818" s="45" t="str">
        <f>IF(A819&gt;0,C818/'Output Report'!$H$70,"")</f>
        <v/>
      </c>
      <c r="E818" s="46" t="str">
        <f>IF(A819&gt;0,SUM($D$2:D818),"")</f>
        <v/>
      </c>
      <c r="F818" t="str">
        <f t="shared" si="40"/>
        <v/>
      </c>
      <c r="G818" t="str">
        <f t="shared" si="38"/>
        <v/>
      </c>
    </row>
    <row r="819" spans="1:7" x14ac:dyDescent="0.3">
      <c r="A819">
        <f>IF('Output Report'!$H$71+2&gt;ROW(A818),ROW(A818),0)</f>
        <v>0</v>
      </c>
      <c r="B819" t="str">
        <f>IF(AND(A819&gt;0,A819&lt;='Output Report'!$H$71+1),B818+MC_hist!$M$11/'Output Report'!$H$71,"")</f>
        <v/>
      </c>
      <c r="C819" t="str">
        <f t="shared" si="39"/>
        <v/>
      </c>
      <c r="D819" s="45" t="str">
        <f>IF(A820&gt;0,C819/'Output Report'!$H$70,"")</f>
        <v/>
      </c>
      <c r="E819" s="46" t="str">
        <f>IF(A820&gt;0,SUM($D$2:D819),"")</f>
        <v/>
      </c>
      <c r="F819" t="str">
        <f t="shared" si="40"/>
        <v/>
      </c>
      <c r="G819" t="str">
        <f t="shared" si="38"/>
        <v/>
      </c>
    </row>
    <row r="820" spans="1:7" x14ac:dyDescent="0.3">
      <c r="A820">
        <f>IF('Output Report'!$H$71+2&gt;ROW(A819),ROW(A819),0)</f>
        <v>0</v>
      </c>
      <c r="B820" t="str">
        <f>IF(AND(A820&gt;0,A820&lt;='Output Report'!$H$71+1),B819+MC_hist!$M$11/'Output Report'!$H$71,"")</f>
        <v/>
      </c>
      <c r="C820" t="str">
        <f t="shared" si="39"/>
        <v/>
      </c>
      <c r="D820" s="45" t="str">
        <f>IF(A821&gt;0,C820/'Output Report'!$H$70,"")</f>
        <v/>
      </c>
      <c r="E820" s="46" t="str">
        <f>IF(A821&gt;0,SUM($D$2:D820),"")</f>
        <v/>
      </c>
      <c r="F820" t="str">
        <f t="shared" si="40"/>
        <v/>
      </c>
      <c r="G820" t="str">
        <f t="shared" si="38"/>
        <v/>
      </c>
    </row>
    <row r="821" spans="1:7" x14ac:dyDescent="0.3">
      <c r="A821">
        <f>IF('Output Report'!$H$71+2&gt;ROW(A820),ROW(A820),0)</f>
        <v>0</v>
      </c>
      <c r="B821" t="str">
        <f>IF(AND(A821&gt;0,A821&lt;='Output Report'!$H$71+1),B820+MC_hist!$M$11/'Output Report'!$H$71,"")</f>
        <v/>
      </c>
      <c r="C821" t="str">
        <f t="shared" si="39"/>
        <v/>
      </c>
      <c r="D821" s="45" t="str">
        <f>IF(A822&gt;0,C821/'Output Report'!$H$70,"")</f>
        <v/>
      </c>
      <c r="E821" s="46" t="str">
        <f>IF(A822&gt;0,SUM($D$2:D821),"")</f>
        <v/>
      </c>
      <c r="F821" t="str">
        <f t="shared" si="40"/>
        <v/>
      </c>
      <c r="G821" t="str">
        <f t="shared" si="38"/>
        <v/>
      </c>
    </row>
    <row r="822" spans="1:7" x14ac:dyDescent="0.3">
      <c r="A822">
        <f>IF('Output Report'!$H$71+2&gt;ROW(A821),ROW(A821),0)</f>
        <v>0</v>
      </c>
      <c r="B822" t="str">
        <f>IF(AND(A822&gt;0,A822&lt;='Output Report'!$H$71+1),B821+MC_hist!$M$11/'Output Report'!$H$71,"")</f>
        <v/>
      </c>
      <c r="C822" t="str">
        <f t="shared" si="39"/>
        <v/>
      </c>
      <c r="D822" s="45" t="str">
        <f>IF(A823&gt;0,C822/'Output Report'!$H$70,"")</f>
        <v/>
      </c>
      <c r="E822" s="46" t="str">
        <f>IF(A823&gt;0,SUM($D$2:D822),"")</f>
        <v/>
      </c>
      <c r="F822" t="str">
        <f t="shared" si="40"/>
        <v/>
      </c>
      <c r="G822" t="str">
        <f t="shared" si="38"/>
        <v/>
      </c>
    </row>
    <row r="823" spans="1:7" x14ac:dyDescent="0.3">
      <c r="A823">
        <f>IF('Output Report'!$H$71+2&gt;ROW(A822),ROW(A822),0)</f>
        <v>0</v>
      </c>
      <c r="B823" t="str">
        <f>IF(AND(A823&gt;0,A823&lt;='Output Report'!$H$71+1),B822+MC_hist!$M$11/'Output Report'!$H$71,"")</f>
        <v/>
      </c>
      <c r="C823" t="str">
        <f t="shared" si="39"/>
        <v/>
      </c>
      <c r="D823" s="45" t="str">
        <f>IF(A824&gt;0,C823/'Output Report'!$H$70,"")</f>
        <v/>
      </c>
      <c r="E823" s="46" t="str">
        <f>IF(A824&gt;0,SUM($D$2:D823),"")</f>
        <v/>
      </c>
      <c r="F823" t="str">
        <f t="shared" si="40"/>
        <v/>
      </c>
      <c r="G823" t="str">
        <f t="shared" si="38"/>
        <v/>
      </c>
    </row>
    <row r="824" spans="1:7" x14ac:dyDescent="0.3">
      <c r="A824">
        <f>IF('Output Report'!$H$71+2&gt;ROW(A823),ROW(A823),0)</f>
        <v>0</v>
      </c>
      <c r="B824" t="str">
        <f>IF(AND(A824&gt;0,A824&lt;='Output Report'!$H$71+1),B823+MC_hist!$M$11/'Output Report'!$H$71,"")</f>
        <v/>
      </c>
      <c r="C824" t="str">
        <f t="shared" si="39"/>
        <v/>
      </c>
      <c r="D824" s="45" t="str">
        <f>IF(A825&gt;0,C824/'Output Report'!$H$70,"")</f>
        <v/>
      </c>
      <c r="E824" s="46" t="str">
        <f>IF(A825&gt;0,SUM($D$2:D824),"")</f>
        <v/>
      </c>
      <c r="F824" t="str">
        <f t="shared" si="40"/>
        <v/>
      </c>
      <c r="G824" t="str">
        <f t="shared" si="38"/>
        <v/>
      </c>
    </row>
    <row r="825" spans="1:7" x14ac:dyDescent="0.3">
      <c r="A825">
        <f>IF('Output Report'!$H$71+2&gt;ROW(A824),ROW(A824),0)</f>
        <v>0</v>
      </c>
      <c r="B825" t="str">
        <f>IF(AND(A825&gt;0,A825&lt;='Output Report'!$H$71+1),B824+MC_hist!$M$11/'Output Report'!$H$71,"")</f>
        <v/>
      </c>
      <c r="C825" t="str">
        <f t="shared" si="39"/>
        <v/>
      </c>
      <c r="D825" s="45" t="str">
        <f>IF(A826&gt;0,C825/'Output Report'!$H$70,"")</f>
        <v/>
      </c>
      <c r="E825" s="46" t="str">
        <f>IF(A826&gt;0,SUM($D$2:D825),"")</f>
        <v/>
      </c>
      <c r="F825" t="str">
        <f t="shared" si="40"/>
        <v/>
      </c>
      <c r="G825" t="str">
        <f t="shared" si="38"/>
        <v/>
      </c>
    </row>
    <row r="826" spans="1:7" x14ac:dyDescent="0.3">
      <c r="A826">
        <f>IF('Output Report'!$H$71+2&gt;ROW(A825),ROW(A825),0)</f>
        <v>0</v>
      </c>
      <c r="B826" t="str">
        <f>IF(AND(A826&gt;0,A826&lt;='Output Report'!$H$71+1),B825+MC_hist!$M$11/'Output Report'!$H$71,"")</f>
        <v/>
      </c>
      <c r="C826" t="str">
        <f t="shared" si="39"/>
        <v/>
      </c>
      <c r="D826" s="45" t="str">
        <f>IF(A827&gt;0,C826/'Output Report'!$H$70,"")</f>
        <v/>
      </c>
      <c r="E826" s="46" t="str">
        <f>IF(A827&gt;0,SUM($D$2:D826),"")</f>
        <v/>
      </c>
      <c r="F826" t="str">
        <f t="shared" si="40"/>
        <v/>
      </c>
      <c r="G826" t="str">
        <f t="shared" si="38"/>
        <v/>
      </c>
    </row>
    <row r="827" spans="1:7" x14ac:dyDescent="0.3">
      <c r="A827">
        <f>IF('Output Report'!$H$71+2&gt;ROW(A826),ROW(A826),0)</f>
        <v>0</v>
      </c>
      <c r="B827" t="str">
        <f>IF(AND(A827&gt;0,A827&lt;='Output Report'!$H$71+1),B826+MC_hist!$M$11/'Output Report'!$H$71,"")</f>
        <v/>
      </c>
      <c r="C827" t="str">
        <f t="shared" si="39"/>
        <v/>
      </c>
      <c r="D827" s="45" t="str">
        <f>IF(A828&gt;0,C827/'Output Report'!$H$70,"")</f>
        <v/>
      </c>
      <c r="E827" s="46" t="str">
        <f>IF(A828&gt;0,SUM($D$2:D827),"")</f>
        <v/>
      </c>
      <c r="F827" t="str">
        <f t="shared" si="40"/>
        <v/>
      </c>
      <c r="G827" t="str">
        <f t="shared" si="38"/>
        <v/>
      </c>
    </row>
    <row r="828" spans="1:7" x14ac:dyDescent="0.3">
      <c r="A828">
        <f>IF('Output Report'!$H$71+2&gt;ROW(A827),ROW(A827),0)</f>
        <v>0</v>
      </c>
      <c r="B828" t="str">
        <f>IF(AND(A828&gt;0,A828&lt;='Output Report'!$H$71+1),B827+MC_hist!$M$11/'Output Report'!$H$71,"")</f>
        <v/>
      </c>
      <c r="C828" t="str">
        <f t="shared" si="39"/>
        <v/>
      </c>
      <c r="D828" s="45" t="str">
        <f>IF(A829&gt;0,C828/'Output Report'!$H$70,"")</f>
        <v/>
      </c>
      <c r="E828" s="46" t="str">
        <f>IF(A829&gt;0,SUM($D$2:D828),"")</f>
        <v/>
      </c>
      <c r="F828" t="str">
        <f t="shared" si="40"/>
        <v/>
      </c>
      <c r="G828" t="str">
        <f t="shared" si="38"/>
        <v/>
      </c>
    </row>
    <row r="829" spans="1:7" x14ac:dyDescent="0.3">
      <c r="A829">
        <f>IF('Output Report'!$H$71+2&gt;ROW(A828),ROW(A828),0)</f>
        <v>0</v>
      </c>
      <c r="B829" t="str">
        <f>IF(AND(A829&gt;0,A829&lt;='Output Report'!$H$71+1),B828+MC_hist!$M$11/'Output Report'!$H$71,"")</f>
        <v/>
      </c>
      <c r="C829" t="str">
        <f t="shared" si="39"/>
        <v/>
      </c>
      <c r="D829" s="45" t="str">
        <f>IF(A830&gt;0,C829/'Output Report'!$H$70,"")</f>
        <v/>
      </c>
      <c r="E829" s="46" t="str">
        <f>IF(A830&gt;0,SUM($D$2:D829),"")</f>
        <v/>
      </c>
      <c r="F829" t="str">
        <f t="shared" si="40"/>
        <v/>
      </c>
      <c r="G829" t="str">
        <f t="shared" si="38"/>
        <v/>
      </c>
    </row>
    <row r="830" spans="1:7" x14ac:dyDescent="0.3">
      <c r="A830">
        <f>IF('Output Report'!$H$71+2&gt;ROW(A829),ROW(A829),0)</f>
        <v>0</v>
      </c>
      <c r="B830" t="str">
        <f>IF(AND(A830&gt;0,A830&lt;='Output Report'!$H$71+1),B829+MC_hist!$M$11/'Output Report'!$H$71,"")</f>
        <v/>
      </c>
      <c r="C830" t="str">
        <f t="shared" si="39"/>
        <v/>
      </c>
      <c r="D830" s="45" t="str">
        <f>IF(A831&gt;0,C830/'Output Report'!$H$70,"")</f>
        <v/>
      </c>
      <c r="E830" s="46" t="str">
        <f>IF(A831&gt;0,SUM($D$2:D830),"")</f>
        <v/>
      </c>
      <c r="F830" t="str">
        <f t="shared" si="40"/>
        <v/>
      </c>
      <c r="G830" t="str">
        <f t="shared" si="38"/>
        <v/>
      </c>
    </row>
    <row r="831" spans="1:7" x14ac:dyDescent="0.3">
      <c r="A831">
        <f>IF('Output Report'!$H$71+2&gt;ROW(A830),ROW(A830),0)</f>
        <v>0</v>
      </c>
      <c r="B831" t="str">
        <f>IF(AND(A831&gt;0,A831&lt;='Output Report'!$H$71+1),B830+MC_hist!$M$11/'Output Report'!$H$71,"")</f>
        <v/>
      </c>
      <c r="C831" t="str">
        <f t="shared" si="39"/>
        <v/>
      </c>
      <c r="D831" s="45" t="str">
        <f>IF(A832&gt;0,C831/'Output Report'!$H$70,"")</f>
        <v/>
      </c>
      <c r="E831" s="46" t="str">
        <f>IF(A832&gt;0,SUM($D$2:D831),"")</f>
        <v/>
      </c>
      <c r="F831" t="str">
        <f t="shared" si="40"/>
        <v/>
      </c>
      <c r="G831" t="str">
        <f t="shared" si="38"/>
        <v/>
      </c>
    </row>
    <row r="832" spans="1:7" x14ac:dyDescent="0.3">
      <c r="A832">
        <f>IF('Output Report'!$H$71+2&gt;ROW(A831),ROW(A831),0)</f>
        <v>0</v>
      </c>
      <c r="B832" t="str">
        <f>IF(AND(A832&gt;0,A832&lt;='Output Report'!$H$71+1),B831+MC_hist!$M$11/'Output Report'!$H$71,"")</f>
        <v/>
      </c>
      <c r="C832" t="str">
        <f t="shared" si="39"/>
        <v/>
      </c>
      <c r="D832" s="45" t="str">
        <f>IF(A833&gt;0,C832/'Output Report'!$H$70,"")</f>
        <v/>
      </c>
      <c r="E832" s="46" t="str">
        <f>IF(A833&gt;0,SUM($D$2:D832),"")</f>
        <v/>
      </c>
      <c r="F832" t="str">
        <f t="shared" si="40"/>
        <v/>
      </c>
      <c r="G832" t="str">
        <f t="shared" si="38"/>
        <v/>
      </c>
    </row>
    <row r="833" spans="1:7" x14ac:dyDescent="0.3">
      <c r="A833">
        <f>IF('Output Report'!$H$71+2&gt;ROW(A832),ROW(A832),0)</f>
        <v>0</v>
      </c>
      <c r="B833" t="str">
        <f>IF(AND(A833&gt;0,A833&lt;='Output Report'!$H$71+1),B832+MC_hist!$M$11/'Output Report'!$H$71,"")</f>
        <v/>
      </c>
      <c r="C833" t="str">
        <f t="shared" si="39"/>
        <v/>
      </c>
      <c r="D833" s="45" t="str">
        <f>IF(A834&gt;0,C833/'Output Report'!$H$70,"")</f>
        <v/>
      </c>
      <c r="E833" s="46" t="str">
        <f>IF(A834&gt;0,SUM($D$2:D833),"")</f>
        <v/>
      </c>
      <c r="F833" t="str">
        <f t="shared" si="40"/>
        <v/>
      </c>
      <c r="G833" t="str">
        <f t="shared" si="38"/>
        <v/>
      </c>
    </row>
    <row r="834" spans="1:7" x14ac:dyDescent="0.3">
      <c r="A834">
        <f>IF('Output Report'!$H$71+2&gt;ROW(A833),ROW(A833),0)</f>
        <v>0</v>
      </c>
      <c r="B834" t="str">
        <f>IF(AND(A834&gt;0,A834&lt;='Output Report'!$H$71+1),B833+MC_hist!$M$11/'Output Report'!$H$71,"")</f>
        <v/>
      </c>
      <c r="C834" t="str">
        <f t="shared" si="39"/>
        <v/>
      </c>
      <c r="D834" s="45" t="str">
        <f>IF(A835&gt;0,C834/'Output Report'!$H$70,"")</f>
        <v/>
      </c>
      <c r="E834" s="46" t="str">
        <f>IF(A835&gt;0,SUM($D$2:D834),"")</f>
        <v/>
      </c>
      <c r="F834" t="str">
        <f t="shared" si="40"/>
        <v/>
      </c>
      <c r="G834" t="str">
        <f t="shared" si="38"/>
        <v/>
      </c>
    </row>
    <row r="835" spans="1:7" x14ac:dyDescent="0.3">
      <c r="A835">
        <f>IF('Output Report'!$H$71+2&gt;ROW(A834),ROW(A834),0)</f>
        <v>0</v>
      </c>
      <c r="B835" t="str">
        <f>IF(AND(A835&gt;0,A835&lt;='Output Report'!$H$71+1),B834+MC_hist!$M$11/'Output Report'!$H$71,"")</f>
        <v/>
      </c>
      <c r="C835" t="str">
        <f t="shared" si="39"/>
        <v/>
      </c>
      <c r="D835" s="45" t="str">
        <f>IF(A836&gt;0,C835/'Output Report'!$H$70,"")</f>
        <v/>
      </c>
      <c r="E835" s="46" t="str">
        <f>IF(A836&gt;0,SUM($D$2:D835),"")</f>
        <v/>
      </c>
      <c r="F835" t="str">
        <f t="shared" si="40"/>
        <v/>
      </c>
      <c r="G835" t="str">
        <f t="shared" ref="G835:G898" si="41">IF(B835&lt;=0,E835,"")</f>
        <v/>
      </c>
    </row>
    <row r="836" spans="1:7" x14ac:dyDescent="0.3">
      <c r="A836">
        <f>IF('Output Report'!$H$71+2&gt;ROW(A835),ROW(A835),0)</f>
        <v>0</v>
      </c>
      <c r="B836" t="str">
        <f>IF(AND(A836&gt;0,A836&lt;='Output Report'!$H$71+1),B835+MC_hist!$M$11/'Output Report'!$H$71,"")</f>
        <v/>
      </c>
      <c r="C836" t="str">
        <f t="shared" si="39"/>
        <v/>
      </c>
      <c r="D836" s="45" t="str">
        <f>IF(A837&gt;0,C836/'Output Report'!$H$70,"")</f>
        <v/>
      </c>
      <c r="E836" s="46" t="str">
        <f>IF(A837&gt;0,SUM($D$2:D836),"")</f>
        <v/>
      </c>
      <c r="F836" t="str">
        <f t="shared" si="40"/>
        <v/>
      </c>
      <c r="G836" t="str">
        <f t="shared" si="41"/>
        <v/>
      </c>
    </row>
    <row r="837" spans="1:7" x14ac:dyDescent="0.3">
      <c r="A837">
        <f>IF('Output Report'!$H$71+2&gt;ROW(A836),ROW(A836),0)</f>
        <v>0</v>
      </c>
      <c r="B837" t="str">
        <f>IF(AND(A837&gt;0,A837&lt;='Output Report'!$H$71+1),B836+MC_hist!$M$11/'Output Report'!$H$71,"")</f>
        <v/>
      </c>
      <c r="C837" t="str">
        <f t="shared" si="39"/>
        <v/>
      </c>
      <c r="D837" s="45" t="str">
        <f>IF(A838&gt;0,C837/'Output Report'!$H$70,"")</f>
        <v/>
      </c>
      <c r="E837" s="46" t="str">
        <f>IF(A838&gt;0,SUM($D$2:D837),"")</f>
        <v/>
      </c>
      <c r="F837" t="str">
        <f t="shared" si="40"/>
        <v/>
      </c>
      <c r="G837" t="str">
        <f t="shared" si="41"/>
        <v/>
      </c>
    </row>
    <row r="838" spans="1:7" x14ac:dyDescent="0.3">
      <c r="A838">
        <f>IF('Output Report'!$H$71+2&gt;ROW(A837),ROW(A837),0)</f>
        <v>0</v>
      </c>
      <c r="B838" t="str">
        <f>IF(AND(A838&gt;0,A838&lt;='Output Report'!$H$71+1),B837+MC_hist!$M$11/'Output Report'!$H$71,"")</f>
        <v/>
      </c>
      <c r="C838" t="str">
        <f t="shared" si="39"/>
        <v/>
      </c>
      <c r="D838" s="45" t="str">
        <f>IF(A839&gt;0,C838/'Output Report'!$H$70,"")</f>
        <v/>
      </c>
      <c r="E838" s="46" t="str">
        <f>IF(A839&gt;0,SUM($D$2:D838),"")</f>
        <v/>
      </c>
      <c r="F838" t="str">
        <f t="shared" si="40"/>
        <v/>
      </c>
      <c r="G838" t="str">
        <f t="shared" si="41"/>
        <v/>
      </c>
    </row>
    <row r="839" spans="1:7" x14ac:dyDescent="0.3">
      <c r="A839">
        <f>IF('Output Report'!$H$71+2&gt;ROW(A838),ROW(A838),0)</f>
        <v>0</v>
      </c>
      <c r="B839" t="str">
        <f>IF(AND(A839&gt;0,A839&lt;='Output Report'!$H$71+1),B838+MC_hist!$M$11/'Output Report'!$H$71,"")</f>
        <v/>
      </c>
      <c r="C839" t="str">
        <f t="shared" si="39"/>
        <v/>
      </c>
      <c r="D839" s="45" t="str">
        <f>IF(A840&gt;0,C839/'Output Report'!$H$70,"")</f>
        <v/>
      </c>
      <c r="E839" s="46" t="str">
        <f>IF(A840&gt;0,SUM($D$2:D839),"")</f>
        <v/>
      </c>
      <c r="F839" t="str">
        <f t="shared" si="40"/>
        <v/>
      </c>
      <c r="G839" t="str">
        <f t="shared" si="41"/>
        <v/>
      </c>
    </row>
    <row r="840" spans="1:7" x14ac:dyDescent="0.3">
      <c r="A840">
        <f>IF('Output Report'!$H$71+2&gt;ROW(A839),ROW(A839),0)</f>
        <v>0</v>
      </c>
      <c r="B840" t="str">
        <f>IF(AND(A840&gt;0,A840&lt;='Output Report'!$H$71+1),B839+MC_hist!$M$11/'Output Report'!$H$71,"")</f>
        <v/>
      </c>
      <c r="C840" t="str">
        <f t="shared" si="39"/>
        <v/>
      </c>
      <c r="D840" s="45" t="str">
        <f>IF(A841&gt;0,C840/'Output Report'!$H$70,"")</f>
        <v/>
      </c>
      <c r="E840" s="46" t="str">
        <f>IF(A841&gt;0,SUM($D$2:D840),"")</f>
        <v/>
      </c>
      <c r="F840" t="str">
        <f t="shared" si="40"/>
        <v/>
      </c>
      <c r="G840" t="str">
        <f t="shared" si="41"/>
        <v/>
      </c>
    </row>
    <row r="841" spans="1:7" x14ac:dyDescent="0.3">
      <c r="A841">
        <f>IF('Output Report'!$H$71+2&gt;ROW(A840),ROW(A840),0)</f>
        <v>0</v>
      </c>
      <c r="B841" t="str">
        <f>IF(AND(A841&gt;0,A841&lt;='Output Report'!$H$71+1),B840+MC_hist!$M$11/'Output Report'!$H$71,"")</f>
        <v/>
      </c>
      <c r="C841" t="str">
        <f t="shared" si="39"/>
        <v/>
      </c>
      <c r="D841" s="45" t="str">
        <f>IF(A842&gt;0,C841/'Output Report'!$H$70,"")</f>
        <v/>
      </c>
      <c r="E841" s="46" t="str">
        <f>IF(A842&gt;0,SUM($D$2:D841),"")</f>
        <v/>
      </c>
      <c r="F841" t="str">
        <f t="shared" si="40"/>
        <v/>
      </c>
      <c r="G841" t="str">
        <f t="shared" si="41"/>
        <v/>
      </c>
    </row>
    <row r="842" spans="1:7" x14ac:dyDescent="0.3">
      <c r="A842">
        <f>IF('Output Report'!$H$71+2&gt;ROW(A841),ROW(A841),0)</f>
        <v>0</v>
      </c>
      <c r="B842" t="str">
        <f>IF(AND(A842&gt;0,A842&lt;='Output Report'!$H$71+1),B841+MC_hist!$M$11/'Output Report'!$H$71,"")</f>
        <v/>
      </c>
      <c r="C842" t="str">
        <f t="shared" si="39"/>
        <v/>
      </c>
      <c r="D842" s="45" t="str">
        <f>IF(A843&gt;0,C842/'Output Report'!$H$70,"")</f>
        <v/>
      </c>
      <c r="E842" s="46" t="str">
        <f>IF(A843&gt;0,SUM($D$2:D842),"")</f>
        <v/>
      </c>
      <c r="F842" t="str">
        <f t="shared" si="40"/>
        <v/>
      </c>
      <c r="G842" t="str">
        <f t="shared" si="41"/>
        <v/>
      </c>
    </row>
    <row r="843" spans="1:7" x14ac:dyDescent="0.3">
      <c r="A843">
        <f>IF('Output Report'!$H$71+2&gt;ROW(A842),ROW(A842),0)</f>
        <v>0</v>
      </c>
      <c r="B843" t="str">
        <f>IF(AND(A843&gt;0,A843&lt;='Output Report'!$H$71+1),B842+MC_hist!$M$11/'Output Report'!$H$71,"")</f>
        <v/>
      </c>
      <c r="C843" t="str">
        <f t="shared" si="39"/>
        <v/>
      </c>
      <c r="D843" s="45" t="str">
        <f>IF(A844&gt;0,C843/'Output Report'!$H$70,"")</f>
        <v/>
      </c>
      <c r="E843" s="46" t="str">
        <f>IF(A844&gt;0,SUM($D$2:D843),"")</f>
        <v/>
      </c>
      <c r="F843" t="str">
        <f t="shared" si="40"/>
        <v/>
      </c>
      <c r="G843" t="str">
        <f t="shared" si="41"/>
        <v/>
      </c>
    </row>
    <row r="844" spans="1:7" x14ac:dyDescent="0.3">
      <c r="A844">
        <f>IF('Output Report'!$H$71+2&gt;ROW(A843),ROW(A843),0)</f>
        <v>0</v>
      </c>
      <c r="B844" t="str">
        <f>IF(AND(A844&gt;0,A844&lt;='Output Report'!$H$71+1),B843+MC_hist!$M$11/'Output Report'!$H$71,"")</f>
        <v/>
      </c>
      <c r="C844" t="str">
        <f t="shared" si="39"/>
        <v/>
      </c>
      <c r="D844" s="45" t="str">
        <f>IF(A845&gt;0,C844/'Output Report'!$H$70,"")</f>
        <v/>
      </c>
      <c r="E844" s="46" t="str">
        <f>IF(A845&gt;0,SUM($D$2:D844),"")</f>
        <v/>
      </c>
      <c r="F844" t="str">
        <f t="shared" si="40"/>
        <v/>
      </c>
      <c r="G844" t="str">
        <f t="shared" si="41"/>
        <v/>
      </c>
    </row>
    <row r="845" spans="1:7" x14ac:dyDescent="0.3">
      <c r="A845">
        <f>IF('Output Report'!$H$71+2&gt;ROW(A844),ROW(A844),0)</f>
        <v>0</v>
      </c>
      <c r="B845" t="str">
        <f>IF(AND(A845&gt;0,A845&lt;='Output Report'!$H$71+1),B844+MC_hist!$M$11/'Output Report'!$H$71,"")</f>
        <v/>
      </c>
      <c r="C845" t="str">
        <f t="shared" si="39"/>
        <v/>
      </c>
      <c r="D845" s="45" t="str">
        <f>IF(A846&gt;0,C845/'Output Report'!$H$70,"")</f>
        <v/>
      </c>
      <c r="E845" s="46" t="str">
        <f>IF(A846&gt;0,SUM($D$2:D845),"")</f>
        <v/>
      </c>
      <c r="F845" t="str">
        <f t="shared" si="40"/>
        <v/>
      </c>
      <c r="G845" t="str">
        <f t="shared" si="41"/>
        <v/>
      </c>
    </row>
    <row r="846" spans="1:7" x14ac:dyDescent="0.3">
      <c r="A846">
        <f>IF('Output Report'!$H$71+2&gt;ROW(A845),ROW(A845),0)</f>
        <v>0</v>
      </c>
      <c r="B846" t="str">
        <f>IF(AND(A846&gt;0,A846&lt;='Output Report'!$H$71+1),B845+MC_hist!$M$11/'Output Report'!$H$71,"")</f>
        <v/>
      </c>
      <c r="C846" t="str">
        <f t="shared" si="39"/>
        <v/>
      </c>
      <c r="D846" s="45" t="str">
        <f>IF(A847&gt;0,C846/'Output Report'!$H$70,"")</f>
        <v/>
      </c>
      <c r="E846" s="46" t="str">
        <f>IF(A847&gt;0,SUM($D$2:D846),"")</f>
        <v/>
      </c>
      <c r="F846" t="str">
        <f t="shared" si="40"/>
        <v/>
      </c>
      <c r="G846" t="str">
        <f t="shared" si="41"/>
        <v/>
      </c>
    </row>
    <row r="847" spans="1:7" x14ac:dyDescent="0.3">
      <c r="A847">
        <f>IF('Output Report'!$H$71+2&gt;ROW(A846),ROW(A846),0)</f>
        <v>0</v>
      </c>
      <c r="B847" t="str">
        <f>IF(AND(A847&gt;0,A847&lt;='Output Report'!$H$71+1),B846+MC_hist!$M$11/'Output Report'!$H$71,"")</f>
        <v/>
      </c>
      <c r="C847" t="str">
        <f t="shared" si="39"/>
        <v/>
      </c>
      <c r="D847" s="45" t="str">
        <f>IF(A848&gt;0,C847/'Output Report'!$H$70,"")</f>
        <v/>
      </c>
      <c r="E847" s="46" t="str">
        <f>IF(A848&gt;0,SUM($D$2:D847),"")</f>
        <v/>
      </c>
      <c r="F847" t="str">
        <f t="shared" si="40"/>
        <v/>
      </c>
      <c r="G847" t="str">
        <f t="shared" si="41"/>
        <v/>
      </c>
    </row>
    <row r="848" spans="1:7" x14ac:dyDescent="0.3">
      <c r="A848">
        <f>IF('Output Report'!$H$71+2&gt;ROW(A847),ROW(A847),0)</f>
        <v>0</v>
      </c>
      <c r="B848" t="str">
        <f>IF(AND(A848&gt;0,A848&lt;='Output Report'!$H$71+1),B847+MC_hist!$M$11/'Output Report'!$H$71,"")</f>
        <v/>
      </c>
      <c r="C848" t="str">
        <f t="shared" si="39"/>
        <v/>
      </c>
      <c r="D848" s="45" t="str">
        <f>IF(A849&gt;0,C848/'Output Report'!$H$70,"")</f>
        <v/>
      </c>
      <c r="E848" s="46" t="str">
        <f>IF(A849&gt;0,SUM($D$2:D848),"")</f>
        <v/>
      </c>
      <c r="F848" t="str">
        <f t="shared" si="40"/>
        <v/>
      </c>
      <c r="G848" t="str">
        <f t="shared" si="41"/>
        <v/>
      </c>
    </row>
    <row r="849" spans="1:7" x14ac:dyDescent="0.3">
      <c r="A849">
        <f>IF('Output Report'!$H$71+2&gt;ROW(A848),ROW(A848),0)</f>
        <v>0</v>
      </c>
      <c r="B849" t="str">
        <f>IF(AND(A849&gt;0,A849&lt;='Output Report'!$H$71+1),B848+MC_hist!$M$11/'Output Report'!$H$71,"")</f>
        <v/>
      </c>
      <c r="C849" t="str">
        <f t="shared" si="39"/>
        <v/>
      </c>
      <c r="D849" s="45" t="str">
        <f>IF(A850&gt;0,C849/'Output Report'!$H$70,"")</f>
        <v/>
      </c>
      <c r="E849" s="46" t="str">
        <f>IF(A850&gt;0,SUM($D$2:D849),"")</f>
        <v/>
      </c>
      <c r="F849" t="str">
        <f t="shared" si="40"/>
        <v/>
      </c>
      <c r="G849" t="str">
        <f t="shared" si="41"/>
        <v/>
      </c>
    </row>
    <row r="850" spans="1:7" x14ac:dyDescent="0.3">
      <c r="A850">
        <f>IF('Output Report'!$H$71+2&gt;ROW(A849),ROW(A849),0)</f>
        <v>0</v>
      </c>
      <c r="B850" t="str">
        <f>IF(AND(A850&gt;0,A850&lt;='Output Report'!$H$71+1),B849+MC_hist!$M$11/'Output Report'!$H$71,"")</f>
        <v/>
      </c>
      <c r="C850" t="str">
        <f t="shared" si="39"/>
        <v/>
      </c>
      <c r="D850" s="45" t="str">
        <f>IF(A851&gt;0,C850/'Output Report'!$H$70,"")</f>
        <v/>
      </c>
      <c r="E850" s="46" t="str">
        <f>IF(A851&gt;0,SUM($D$2:D850),"")</f>
        <v/>
      </c>
      <c r="F850" t="str">
        <f t="shared" si="40"/>
        <v/>
      </c>
      <c r="G850" t="str">
        <f t="shared" si="41"/>
        <v/>
      </c>
    </row>
    <row r="851" spans="1:7" x14ac:dyDescent="0.3">
      <c r="A851">
        <f>IF('Output Report'!$H$71+2&gt;ROW(A850),ROW(A850),0)</f>
        <v>0</v>
      </c>
      <c r="B851" t="str">
        <f>IF(AND(A851&gt;0,A851&lt;='Output Report'!$H$71+1),B850+MC_hist!$M$11/'Output Report'!$H$71,"")</f>
        <v/>
      </c>
      <c r="C851" t="str">
        <f t="shared" si="39"/>
        <v/>
      </c>
      <c r="D851" s="45" t="str">
        <f>IF(A852&gt;0,C851/'Output Report'!$H$70,"")</f>
        <v/>
      </c>
      <c r="E851" s="46" t="str">
        <f>IF(A852&gt;0,SUM($D$2:D851),"")</f>
        <v/>
      </c>
      <c r="F851" t="str">
        <f t="shared" si="40"/>
        <v/>
      </c>
      <c r="G851" t="str">
        <f t="shared" si="41"/>
        <v/>
      </c>
    </row>
    <row r="852" spans="1:7" x14ac:dyDescent="0.3">
      <c r="A852">
        <f>IF('Output Report'!$H$71+2&gt;ROW(A851),ROW(A851),0)</f>
        <v>0</v>
      </c>
      <c r="B852" t="str">
        <f>IF(AND(A852&gt;0,A852&lt;='Output Report'!$H$71+1),B851+MC_hist!$M$11/'Output Report'!$H$71,"")</f>
        <v/>
      </c>
      <c r="C852" t="str">
        <f t="shared" si="39"/>
        <v/>
      </c>
      <c r="D852" s="45" t="str">
        <f>IF(A853&gt;0,C852/'Output Report'!$H$70,"")</f>
        <v/>
      </c>
      <c r="E852" s="46" t="str">
        <f>IF(A853&gt;0,SUM($D$2:D852),"")</f>
        <v/>
      </c>
      <c r="F852" t="str">
        <f t="shared" si="40"/>
        <v/>
      </c>
      <c r="G852" t="str">
        <f t="shared" si="41"/>
        <v/>
      </c>
    </row>
    <row r="853" spans="1:7" x14ac:dyDescent="0.3">
      <c r="A853">
        <f>IF('Output Report'!$H$71+2&gt;ROW(A852),ROW(A852),0)</f>
        <v>0</v>
      </c>
      <c r="B853" t="str">
        <f>IF(AND(A853&gt;0,A853&lt;='Output Report'!$H$71+1),B852+MC_hist!$M$11/'Output Report'!$H$71,"")</f>
        <v/>
      </c>
      <c r="C853" t="str">
        <f t="shared" si="39"/>
        <v/>
      </c>
      <c r="D853" s="45" t="str">
        <f>IF(A854&gt;0,C853/'Output Report'!$H$70,"")</f>
        <v/>
      </c>
      <c r="E853" s="46" t="str">
        <f>IF(A854&gt;0,SUM($D$2:D853),"")</f>
        <v/>
      </c>
      <c r="F853" t="str">
        <f t="shared" si="40"/>
        <v/>
      </c>
      <c r="G853" t="str">
        <f t="shared" si="41"/>
        <v/>
      </c>
    </row>
    <row r="854" spans="1:7" x14ac:dyDescent="0.3">
      <c r="A854">
        <f>IF('Output Report'!$H$71+2&gt;ROW(A853),ROW(A853),0)</f>
        <v>0</v>
      </c>
      <c r="B854" t="str">
        <f>IF(AND(A854&gt;0,A854&lt;='Output Report'!$H$71+1),B853+MC_hist!$M$11/'Output Report'!$H$71,"")</f>
        <v/>
      </c>
      <c r="C854" t="str">
        <f t="shared" si="39"/>
        <v/>
      </c>
      <c r="D854" s="45" t="str">
        <f>IF(A855&gt;0,C854/'Output Report'!$H$70,"")</f>
        <v/>
      </c>
      <c r="E854" s="46" t="str">
        <f>IF(A855&gt;0,SUM($D$2:D854),"")</f>
        <v/>
      </c>
      <c r="F854" t="str">
        <f t="shared" si="40"/>
        <v/>
      </c>
      <c r="G854" t="str">
        <f t="shared" si="41"/>
        <v/>
      </c>
    </row>
    <row r="855" spans="1:7" x14ac:dyDescent="0.3">
      <c r="A855">
        <f>IF('Output Report'!$H$71+2&gt;ROW(A854),ROW(A854),0)</f>
        <v>0</v>
      </c>
      <c r="B855" t="str">
        <f>IF(AND(A855&gt;0,A855&lt;='Output Report'!$H$71+1),B854+MC_hist!$M$11/'Output Report'!$H$71,"")</f>
        <v/>
      </c>
      <c r="C855" t="str">
        <f t="shared" si="39"/>
        <v/>
      </c>
      <c r="D855" s="45" t="str">
        <f>IF(A856&gt;0,C855/'Output Report'!$H$70,"")</f>
        <v/>
      </c>
      <c r="E855" s="46" t="str">
        <f>IF(A856&gt;0,SUM($D$2:D855),"")</f>
        <v/>
      </c>
      <c r="F855" t="str">
        <f t="shared" si="40"/>
        <v/>
      </c>
      <c r="G855" t="str">
        <f t="shared" si="41"/>
        <v/>
      </c>
    </row>
    <row r="856" spans="1:7" x14ac:dyDescent="0.3">
      <c r="A856">
        <f>IF('Output Report'!$H$71+2&gt;ROW(A855),ROW(A855),0)</f>
        <v>0</v>
      </c>
      <c r="B856" t="str">
        <f>IF(AND(A856&gt;0,A856&lt;='Output Report'!$H$71+1),B855+MC_hist!$M$11/'Output Report'!$H$71,"")</f>
        <v/>
      </c>
      <c r="C856" t="str">
        <f t="shared" si="39"/>
        <v/>
      </c>
      <c r="D856" s="45" t="str">
        <f>IF(A857&gt;0,C856/'Output Report'!$H$70,"")</f>
        <v/>
      </c>
      <c r="E856" s="46" t="str">
        <f>IF(A857&gt;0,SUM($D$2:D856),"")</f>
        <v/>
      </c>
      <c r="F856" t="str">
        <f t="shared" si="40"/>
        <v/>
      </c>
      <c r="G856" t="str">
        <f t="shared" si="41"/>
        <v/>
      </c>
    </row>
    <row r="857" spans="1:7" x14ac:dyDescent="0.3">
      <c r="A857">
        <f>IF('Output Report'!$H$71+2&gt;ROW(A856),ROW(A856),0)</f>
        <v>0</v>
      </c>
      <c r="B857" t="str">
        <f>IF(AND(A857&gt;0,A857&lt;='Output Report'!$H$71+1),B856+MC_hist!$M$11/'Output Report'!$H$71,"")</f>
        <v/>
      </c>
      <c r="C857" t="str">
        <f t="shared" si="39"/>
        <v/>
      </c>
      <c r="D857" s="45" t="str">
        <f>IF(A858&gt;0,C857/'Output Report'!$H$70,"")</f>
        <v/>
      </c>
      <c r="E857" s="46" t="str">
        <f>IF(A858&gt;0,SUM($D$2:D857),"")</f>
        <v/>
      </c>
      <c r="F857" t="str">
        <f t="shared" si="40"/>
        <v/>
      </c>
      <c r="G857" t="str">
        <f t="shared" si="41"/>
        <v/>
      </c>
    </row>
    <row r="858" spans="1:7" x14ac:dyDescent="0.3">
      <c r="A858">
        <f>IF('Output Report'!$H$71+2&gt;ROW(A857),ROW(A857),0)</f>
        <v>0</v>
      </c>
      <c r="B858" t="str">
        <f>IF(AND(A858&gt;0,A858&lt;='Output Report'!$H$71+1),B857+MC_hist!$M$11/'Output Report'!$H$71,"")</f>
        <v/>
      </c>
      <c r="C858" t="str">
        <f t="shared" si="39"/>
        <v/>
      </c>
      <c r="D858" s="45" t="str">
        <f>IF(A859&gt;0,C858/'Output Report'!$H$70,"")</f>
        <v/>
      </c>
      <c r="E858" s="46" t="str">
        <f>IF(A859&gt;0,SUM($D$2:D858),"")</f>
        <v/>
      </c>
      <c r="F858" t="str">
        <f t="shared" si="40"/>
        <v/>
      </c>
      <c r="G858" t="str">
        <f t="shared" si="41"/>
        <v/>
      </c>
    </row>
    <row r="859" spans="1:7" x14ac:dyDescent="0.3">
      <c r="A859">
        <f>IF('Output Report'!$H$71+2&gt;ROW(A858),ROW(A858),0)</f>
        <v>0</v>
      </c>
      <c r="B859" t="str">
        <f>IF(AND(A859&gt;0,A859&lt;='Output Report'!$H$71+1),B858+MC_hist!$M$11/'Output Report'!$H$71,"")</f>
        <v/>
      </c>
      <c r="C859" t="str">
        <f t="shared" si="39"/>
        <v/>
      </c>
      <c r="D859" s="45" t="str">
        <f>IF(A860&gt;0,C859/'Output Report'!$H$70,"")</f>
        <v/>
      </c>
      <c r="E859" s="46" t="str">
        <f>IF(A860&gt;0,SUM($D$2:D859),"")</f>
        <v/>
      </c>
      <c r="F859" t="str">
        <f t="shared" si="40"/>
        <v/>
      </c>
      <c r="G859" t="str">
        <f t="shared" si="41"/>
        <v/>
      </c>
    </row>
    <row r="860" spans="1:7" x14ac:dyDescent="0.3">
      <c r="A860">
        <f>IF('Output Report'!$H$71+2&gt;ROW(A859),ROW(A859),0)</f>
        <v>0</v>
      </c>
      <c r="B860" t="str">
        <f>IF(AND(A860&gt;0,A860&lt;='Output Report'!$H$71+1),B859+MC_hist!$M$11/'Output Report'!$H$71,"")</f>
        <v/>
      </c>
      <c r="C860" t="str">
        <f t="shared" si="39"/>
        <v/>
      </c>
      <c r="D860" s="45" t="str">
        <f>IF(A861&gt;0,C860/'Output Report'!$H$70,"")</f>
        <v/>
      </c>
      <c r="E860" s="46" t="str">
        <f>IF(A861&gt;0,SUM($D$2:D860),"")</f>
        <v/>
      </c>
      <c r="F860" t="str">
        <f t="shared" si="40"/>
        <v/>
      </c>
      <c r="G860" t="str">
        <f t="shared" si="41"/>
        <v/>
      </c>
    </row>
    <row r="861" spans="1:7" x14ac:dyDescent="0.3">
      <c r="A861">
        <f>IF('Output Report'!$H$71+2&gt;ROW(A860),ROW(A860),0)</f>
        <v>0</v>
      </c>
      <c r="B861" t="str">
        <f>IF(AND(A861&gt;0,A861&lt;='Output Report'!$H$71+1),B860+MC_hist!$M$11/'Output Report'!$H$71,"")</f>
        <v/>
      </c>
      <c r="C861" t="str">
        <f t="shared" si="39"/>
        <v/>
      </c>
      <c r="D861" s="45" t="str">
        <f>IF(A862&gt;0,C861/'Output Report'!$H$70,"")</f>
        <v/>
      </c>
      <c r="E861" s="46" t="str">
        <f>IF(A862&gt;0,SUM($D$2:D861),"")</f>
        <v/>
      </c>
      <c r="F861" t="str">
        <f t="shared" si="40"/>
        <v/>
      </c>
      <c r="G861" t="str">
        <f t="shared" si="41"/>
        <v/>
      </c>
    </row>
    <row r="862" spans="1:7" x14ac:dyDescent="0.3">
      <c r="A862">
        <f>IF('Output Report'!$H$71+2&gt;ROW(A861),ROW(A861),0)</f>
        <v>0</v>
      </c>
      <c r="B862" t="str">
        <f>IF(AND(A862&gt;0,A862&lt;='Output Report'!$H$71+1),B861+MC_hist!$M$11/'Output Report'!$H$71,"")</f>
        <v/>
      </c>
      <c r="C862" t="str">
        <f t="shared" si="39"/>
        <v/>
      </c>
      <c r="D862" s="45" t="str">
        <f>IF(A863&gt;0,C862/'Output Report'!$H$70,"")</f>
        <v/>
      </c>
      <c r="E862" s="46" t="str">
        <f>IF(A863&gt;0,SUM($D$2:D862),"")</f>
        <v/>
      </c>
      <c r="F862" t="str">
        <f t="shared" si="40"/>
        <v/>
      </c>
      <c r="G862" t="str">
        <f t="shared" si="41"/>
        <v/>
      </c>
    </row>
    <row r="863" spans="1:7" x14ac:dyDescent="0.3">
      <c r="A863">
        <f>IF('Output Report'!$H$71+2&gt;ROW(A862),ROW(A862),0)</f>
        <v>0</v>
      </c>
      <c r="B863" t="str">
        <f>IF(AND(A863&gt;0,A863&lt;='Output Report'!$H$71+1),B862+MC_hist!$M$11/'Output Report'!$H$71,"")</f>
        <v/>
      </c>
      <c r="C863" t="str">
        <f t="shared" si="39"/>
        <v/>
      </c>
      <c r="D863" s="45" t="str">
        <f>IF(A864&gt;0,C863/'Output Report'!$H$70,"")</f>
        <v/>
      </c>
      <c r="E863" s="46" t="str">
        <f>IF(A864&gt;0,SUM($D$2:D863),"")</f>
        <v/>
      </c>
      <c r="F863" t="str">
        <f t="shared" si="40"/>
        <v/>
      </c>
      <c r="G863" t="str">
        <f t="shared" si="41"/>
        <v/>
      </c>
    </row>
    <row r="864" spans="1:7" x14ac:dyDescent="0.3">
      <c r="A864">
        <f>IF('Output Report'!$H$71+2&gt;ROW(A863),ROW(A863),0)</f>
        <v>0</v>
      </c>
      <c r="B864" t="str">
        <f>IF(AND(A864&gt;0,A864&lt;='Output Report'!$H$71+1),B863+MC_hist!$M$11/'Output Report'!$H$71,"")</f>
        <v/>
      </c>
      <c r="C864" t="str">
        <f t="shared" si="39"/>
        <v/>
      </c>
      <c r="D864" s="45" t="str">
        <f>IF(A865&gt;0,C864/'Output Report'!$H$70,"")</f>
        <v/>
      </c>
      <c r="E864" s="46" t="str">
        <f>IF(A865&gt;0,SUM($D$2:D864),"")</f>
        <v/>
      </c>
      <c r="F864" t="str">
        <f t="shared" si="40"/>
        <v/>
      </c>
      <c r="G864" t="str">
        <f t="shared" si="41"/>
        <v/>
      </c>
    </row>
    <row r="865" spans="1:7" x14ac:dyDescent="0.3">
      <c r="A865">
        <f>IF('Output Report'!$H$71+2&gt;ROW(A864),ROW(A864),0)</f>
        <v>0</v>
      </c>
      <c r="B865" t="str">
        <f>IF(AND(A865&gt;0,A865&lt;='Output Report'!$H$71+1),B864+MC_hist!$M$11/'Output Report'!$H$71,"")</f>
        <v/>
      </c>
      <c r="C865" t="str">
        <f t="shared" si="39"/>
        <v/>
      </c>
      <c r="D865" s="45" t="str">
        <f>IF(A866&gt;0,C865/'Output Report'!$H$70,"")</f>
        <v/>
      </c>
      <c r="E865" s="46" t="str">
        <f>IF(A866&gt;0,SUM($D$2:D865),"")</f>
        <v/>
      </c>
      <c r="F865" t="str">
        <f t="shared" si="40"/>
        <v/>
      </c>
      <c r="G865" t="str">
        <f t="shared" si="41"/>
        <v/>
      </c>
    </row>
    <row r="866" spans="1:7" x14ac:dyDescent="0.3">
      <c r="A866">
        <f>IF('Output Report'!$H$71+2&gt;ROW(A865),ROW(A865),0)</f>
        <v>0</v>
      </c>
      <c r="B866" t="str">
        <f>IF(AND(A866&gt;0,A866&lt;='Output Report'!$H$71+1),B865+MC_hist!$M$11/'Output Report'!$H$71,"")</f>
        <v/>
      </c>
      <c r="C866" t="str">
        <f t="shared" si="39"/>
        <v/>
      </c>
      <c r="D866" s="45" t="str">
        <f>IF(A867&gt;0,C866/'Output Report'!$H$70,"")</f>
        <v/>
      </c>
      <c r="E866" s="46" t="str">
        <f>IF(A867&gt;0,SUM($D$2:D866),"")</f>
        <v/>
      </c>
      <c r="F866" t="str">
        <f t="shared" si="40"/>
        <v/>
      </c>
      <c r="G866" t="str">
        <f t="shared" si="41"/>
        <v/>
      </c>
    </row>
    <row r="867" spans="1:7" x14ac:dyDescent="0.3">
      <c r="A867">
        <f>IF('Output Report'!$H$71+2&gt;ROW(A866),ROW(A866),0)</f>
        <v>0</v>
      </c>
      <c r="B867" t="str">
        <f>IF(AND(A867&gt;0,A867&lt;='Output Report'!$H$71+1),B866+MC_hist!$M$11/'Output Report'!$H$71,"")</f>
        <v/>
      </c>
      <c r="C867" t="str">
        <f t="shared" si="39"/>
        <v/>
      </c>
      <c r="D867" s="45" t="str">
        <f>IF(A868&gt;0,C867/'Output Report'!$H$70,"")</f>
        <v/>
      </c>
      <c r="E867" s="46" t="str">
        <f>IF(A868&gt;0,SUM($D$2:D867),"")</f>
        <v/>
      </c>
      <c r="F867" t="str">
        <f t="shared" si="40"/>
        <v/>
      </c>
      <c r="G867" t="str">
        <f t="shared" si="41"/>
        <v/>
      </c>
    </row>
    <row r="868" spans="1:7" x14ac:dyDescent="0.3">
      <c r="A868">
        <f>IF('Output Report'!$H$71+2&gt;ROW(A867),ROW(A867),0)</f>
        <v>0</v>
      </c>
      <c r="B868" t="str">
        <f>IF(AND(A868&gt;0,A868&lt;='Output Report'!$H$71+1),B867+MC_hist!$M$11/'Output Report'!$H$71,"")</f>
        <v/>
      </c>
      <c r="C868" t="str">
        <f t="shared" si="39"/>
        <v/>
      </c>
      <c r="D868" s="45" t="str">
        <f>IF(A869&gt;0,C868/'Output Report'!$H$70,"")</f>
        <v/>
      </c>
      <c r="E868" s="46" t="str">
        <f>IF(A869&gt;0,SUM($D$2:D868),"")</f>
        <v/>
      </c>
      <c r="F868" t="str">
        <f t="shared" si="40"/>
        <v/>
      </c>
      <c r="G868" t="str">
        <f t="shared" si="41"/>
        <v/>
      </c>
    </row>
    <row r="869" spans="1:7" x14ac:dyDescent="0.3">
      <c r="A869">
        <f>IF('Output Report'!$H$71+2&gt;ROW(A868),ROW(A868),0)</f>
        <v>0</v>
      </c>
      <c r="B869" t="str">
        <f>IF(AND(A869&gt;0,A869&lt;='Output Report'!$H$71+1),B868+MC_hist!$M$11/'Output Report'!$H$71,"")</f>
        <v/>
      </c>
      <c r="C869" t="str">
        <f t="shared" si="39"/>
        <v/>
      </c>
      <c r="D869" s="45" t="str">
        <f>IF(A870&gt;0,C869/'Output Report'!$H$70,"")</f>
        <v/>
      </c>
      <c r="E869" s="46" t="str">
        <f>IF(A870&gt;0,SUM($D$2:D869),"")</f>
        <v/>
      </c>
      <c r="F869" t="str">
        <f t="shared" si="40"/>
        <v/>
      </c>
      <c r="G869" t="str">
        <f t="shared" si="41"/>
        <v/>
      </c>
    </row>
    <row r="870" spans="1:7" x14ac:dyDescent="0.3">
      <c r="A870">
        <f>IF('Output Report'!$H$71+2&gt;ROW(A869),ROW(A869),0)</f>
        <v>0</v>
      </c>
      <c r="B870" t="str">
        <f>IF(AND(A870&gt;0,A870&lt;='Output Report'!$H$71+1),B869+MC_hist!$M$11/'Output Report'!$H$71,"")</f>
        <v/>
      </c>
      <c r="C870" t="str">
        <f t="shared" si="39"/>
        <v/>
      </c>
      <c r="D870" s="45" t="str">
        <f>IF(A871&gt;0,C870/'Output Report'!$H$70,"")</f>
        <v/>
      </c>
      <c r="E870" s="46" t="str">
        <f>IF(A871&gt;0,SUM($D$2:D870),"")</f>
        <v/>
      </c>
      <c r="F870" t="str">
        <f t="shared" si="40"/>
        <v/>
      </c>
      <c r="G870" t="str">
        <f t="shared" si="41"/>
        <v/>
      </c>
    </row>
    <row r="871" spans="1:7" x14ac:dyDescent="0.3">
      <c r="A871">
        <f>IF('Output Report'!$H$71+2&gt;ROW(A870),ROW(A870),0)</f>
        <v>0</v>
      </c>
      <c r="B871" t="str">
        <f>IF(AND(A871&gt;0,A871&lt;='Output Report'!$H$71+1),B870+MC_hist!$M$11/'Output Report'!$H$71,"")</f>
        <v/>
      </c>
      <c r="C871" t="str">
        <f t="shared" si="39"/>
        <v/>
      </c>
      <c r="D871" s="45" t="str">
        <f>IF(A872&gt;0,C871/'Output Report'!$H$70,"")</f>
        <v/>
      </c>
      <c r="E871" s="46" t="str">
        <f>IF(A872&gt;0,SUM($D$2:D871),"")</f>
        <v/>
      </c>
      <c r="F871" t="str">
        <f t="shared" si="40"/>
        <v/>
      </c>
      <c r="G871" t="str">
        <f t="shared" si="41"/>
        <v/>
      </c>
    </row>
    <row r="872" spans="1:7" x14ac:dyDescent="0.3">
      <c r="A872">
        <f>IF('Output Report'!$H$71+2&gt;ROW(A871),ROW(A871),0)</f>
        <v>0</v>
      </c>
      <c r="B872" t="str">
        <f>IF(AND(A872&gt;0,A872&lt;='Output Report'!$H$71+1),B871+MC_hist!$M$11/'Output Report'!$H$71,"")</f>
        <v/>
      </c>
      <c r="C872" t="str">
        <f t="shared" si="39"/>
        <v/>
      </c>
      <c r="D872" s="45" t="str">
        <f>IF(A873&gt;0,C872/'Output Report'!$H$70,"")</f>
        <v/>
      </c>
      <c r="E872" s="46" t="str">
        <f>IF(A873&gt;0,SUM($D$2:D872),"")</f>
        <v/>
      </c>
      <c r="F872" t="str">
        <f t="shared" si="40"/>
        <v/>
      </c>
      <c r="G872" t="str">
        <f t="shared" si="41"/>
        <v/>
      </c>
    </row>
    <row r="873" spans="1:7" x14ac:dyDescent="0.3">
      <c r="A873">
        <f>IF('Output Report'!$H$71+2&gt;ROW(A872),ROW(A872),0)</f>
        <v>0</v>
      </c>
      <c r="B873" t="str">
        <f>IF(AND(A873&gt;0,A873&lt;='Output Report'!$H$71+1),B872+MC_hist!$M$11/'Output Report'!$H$71,"")</f>
        <v/>
      </c>
      <c r="C873" t="str">
        <f t="shared" si="39"/>
        <v/>
      </c>
      <c r="D873" s="45" t="str">
        <f>IF(A874&gt;0,C873/'Output Report'!$H$70,"")</f>
        <v/>
      </c>
      <c r="E873" s="46" t="str">
        <f>IF(A874&gt;0,SUM($D$2:D873),"")</f>
        <v/>
      </c>
      <c r="F873" t="str">
        <f t="shared" si="40"/>
        <v/>
      </c>
      <c r="G873" t="str">
        <f t="shared" si="41"/>
        <v/>
      </c>
    </row>
    <row r="874" spans="1:7" x14ac:dyDescent="0.3">
      <c r="A874">
        <f>IF('Output Report'!$H$71+2&gt;ROW(A873),ROW(A873),0)</f>
        <v>0</v>
      </c>
      <c r="B874" t="str">
        <f>IF(AND(A874&gt;0,A874&lt;='Output Report'!$H$71+1),B873+MC_hist!$M$11/'Output Report'!$H$71,"")</f>
        <v/>
      </c>
      <c r="C874" t="str">
        <f t="shared" si="39"/>
        <v/>
      </c>
      <c r="D874" s="45" t="str">
        <f>IF(A875&gt;0,C874/'Output Report'!$H$70,"")</f>
        <v/>
      </c>
      <c r="E874" s="46" t="str">
        <f>IF(A875&gt;0,SUM($D$2:D874),"")</f>
        <v/>
      </c>
      <c r="F874" t="str">
        <f t="shared" si="40"/>
        <v/>
      </c>
      <c r="G874" t="str">
        <f t="shared" si="41"/>
        <v/>
      </c>
    </row>
    <row r="875" spans="1:7" x14ac:dyDescent="0.3">
      <c r="A875">
        <f>IF('Output Report'!$H$71+2&gt;ROW(A874),ROW(A874),0)</f>
        <v>0</v>
      </c>
      <c r="B875" t="str">
        <f>IF(AND(A875&gt;0,A875&lt;='Output Report'!$H$71+1),B874+MC_hist!$M$11/'Output Report'!$H$71,"")</f>
        <v/>
      </c>
      <c r="C875" t="str">
        <f t="shared" si="39"/>
        <v/>
      </c>
      <c r="D875" s="45" t="str">
        <f>IF(A876&gt;0,C875/'Output Report'!$H$70,"")</f>
        <v/>
      </c>
      <c r="E875" s="46" t="str">
        <f>IF(A876&gt;0,SUM($D$2:D875),"")</f>
        <v/>
      </c>
      <c r="F875" t="str">
        <f t="shared" si="40"/>
        <v/>
      </c>
      <c r="G875" t="str">
        <f t="shared" si="41"/>
        <v/>
      </c>
    </row>
    <row r="876" spans="1:7" x14ac:dyDescent="0.3">
      <c r="A876">
        <f>IF('Output Report'!$H$71+2&gt;ROW(A875),ROW(A875),0)</f>
        <v>0</v>
      </c>
      <c r="B876" t="str">
        <f>IF(AND(A876&gt;0,A876&lt;='Output Report'!$H$71+1),B875+MC_hist!$M$11/'Output Report'!$H$71,"")</f>
        <v/>
      </c>
      <c r="C876" t="str">
        <f t="shared" si="39"/>
        <v/>
      </c>
      <c r="D876" s="45" t="str">
        <f>IF(A877&gt;0,C876/'Output Report'!$H$70,"")</f>
        <v/>
      </c>
      <c r="E876" s="46" t="str">
        <f>IF(A877&gt;0,SUM($D$2:D876),"")</f>
        <v/>
      </c>
      <c r="F876" t="str">
        <f t="shared" si="40"/>
        <v/>
      </c>
      <c r="G876" t="str">
        <f t="shared" si="41"/>
        <v/>
      </c>
    </row>
    <row r="877" spans="1:7" x14ac:dyDescent="0.3">
      <c r="A877">
        <f>IF('Output Report'!$H$71+2&gt;ROW(A876),ROW(A876),0)</f>
        <v>0</v>
      </c>
      <c r="B877" t="str">
        <f>IF(AND(A877&gt;0,A877&lt;='Output Report'!$H$71+1),B876+MC_hist!$M$11/'Output Report'!$H$71,"")</f>
        <v/>
      </c>
      <c r="C877" t="str">
        <f t="shared" si="39"/>
        <v/>
      </c>
      <c r="D877" s="45" t="str">
        <f>IF(A878&gt;0,C877/'Output Report'!$H$70,"")</f>
        <v/>
      </c>
      <c r="E877" s="46" t="str">
        <f>IF(A878&gt;0,SUM($D$2:D877),"")</f>
        <v/>
      </c>
      <c r="F877" t="str">
        <f t="shared" si="40"/>
        <v/>
      </c>
      <c r="G877" t="str">
        <f t="shared" si="41"/>
        <v/>
      </c>
    </row>
    <row r="878" spans="1:7" x14ac:dyDescent="0.3">
      <c r="A878">
        <f>IF('Output Report'!$H$71+2&gt;ROW(A877),ROW(A877),0)</f>
        <v>0</v>
      </c>
      <c r="B878" t="str">
        <f>IF(AND(A878&gt;0,A878&lt;='Output Report'!$H$71+1),B877+MC_hist!$M$11/'Output Report'!$H$71,"")</f>
        <v/>
      </c>
      <c r="C878" t="str">
        <f t="shared" ref="C878:C941" si="42">IF(A879&gt;0,COUNTIFS(data_sim,"&gt;"&amp;B878,data_sim,"&lt;="&amp;B879),"")</f>
        <v/>
      </c>
      <c r="D878" s="45" t="str">
        <f>IF(A879&gt;0,C878/'Output Report'!$H$70,"")</f>
        <v/>
      </c>
      <c r="E878" s="46" t="str">
        <f>IF(A879&gt;0,SUM($D$2:D878),"")</f>
        <v/>
      </c>
      <c r="F878" t="str">
        <f t="shared" ref="F878:F941" si="43">IF(B878&lt;=0,D878,"")</f>
        <v/>
      </c>
      <c r="G878" t="str">
        <f t="shared" si="41"/>
        <v/>
      </c>
    </row>
    <row r="879" spans="1:7" x14ac:dyDescent="0.3">
      <c r="A879">
        <f>IF('Output Report'!$H$71+2&gt;ROW(A878),ROW(A878),0)</f>
        <v>0</v>
      </c>
      <c r="B879" t="str">
        <f>IF(AND(A879&gt;0,A879&lt;='Output Report'!$H$71+1),B878+MC_hist!$M$11/'Output Report'!$H$71,"")</f>
        <v/>
      </c>
      <c r="C879" t="str">
        <f t="shared" si="42"/>
        <v/>
      </c>
      <c r="D879" s="45" t="str">
        <f>IF(A880&gt;0,C879/'Output Report'!$H$70,"")</f>
        <v/>
      </c>
      <c r="E879" s="46" t="str">
        <f>IF(A880&gt;0,SUM($D$2:D879),"")</f>
        <v/>
      </c>
      <c r="F879" t="str">
        <f t="shared" si="43"/>
        <v/>
      </c>
      <c r="G879" t="str">
        <f t="shared" si="41"/>
        <v/>
      </c>
    </row>
    <row r="880" spans="1:7" x14ac:dyDescent="0.3">
      <c r="A880">
        <f>IF('Output Report'!$H$71+2&gt;ROW(A879),ROW(A879),0)</f>
        <v>0</v>
      </c>
      <c r="B880" t="str">
        <f>IF(AND(A880&gt;0,A880&lt;='Output Report'!$H$71+1),B879+MC_hist!$M$11/'Output Report'!$H$71,"")</f>
        <v/>
      </c>
      <c r="C880" t="str">
        <f t="shared" si="42"/>
        <v/>
      </c>
      <c r="D880" s="45" t="str">
        <f>IF(A881&gt;0,C880/'Output Report'!$H$70,"")</f>
        <v/>
      </c>
      <c r="E880" s="46" t="str">
        <f>IF(A881&gt;0,SUM($D$2:D880),"")</f>
        <v/>
      </c>
      <c r="F880" t="str">
        <f t="shared" si="43"/>
        <v/>
      </c>
      <c r="G880" t="str">
        <f t="shared" si="41"/>
        <v/>
      </c>
    </row>
    <row r="881" spans="1:7" x14ac:dyDescent="0.3">
      <c r="A881">
        <f>IF('Output Report'!$H$71+2&gt;ROW(A880),ROW(A880),0)</f>
        <v>0</v>
      </c>
      <c r="B881" t="str">
        <f>IF(AND(A881&gt;0,A881&lt;='Output Report'!$H$71+1),B880+MC_hist!$M$11/'Output Report'!$H$71,"")</f>
        <v/>
      </c>
      <c r="C881" t="str">
        <f t="shared" si="42"/>
        <v/>
      </c>
      <c r="D881" s="45" t="str">
        <f>IF(A882&gt;0,C881/'Output Report'!$H$70,"")</f>
        <v/>
      </c>
      <c r="E881" s="46" t="str">
        <f>IF(A882&gt;0,SUM($D$2:D881),"")</f>
        <v/>
      </c>
      <c r="F881" t="str">
        <f t="shared" si="43"/>
        <v/>
      </c>
      <c r="G881" t="str">
        <f t="shared" si="41"/>
        <v/>
      </c>
    </row>
    <row r="882" spans="1:7" x14ac:dyDescent="0.3">
      <c r="A882">
        <f>IF('Output Report'!$H$71+2&gt;ROW(A881),ROW(A881),0)</f>
        <v>0</v>
      </c>
      <c r="B882" t="str">
        <f>IF(AND(A882&gt;0,A882&lt;='Output Report'!$H$71+1),B881+MC_hist!$M$11/'Output Report'!$H$71,"")</f>
        <v/>
      </c>
      <c r="C882" t="str">
        <f t="shared" si="42"/>
        <v/>
      </c>
      <c r="D882" s="45" t="str">
        <f>IF(A883&gt;0,C882/'Output Report'!$H$70,"")</f>
        <v/>
      </c>
      <c r="E882" s="46" t="str">
        <f>IF(A883&gt;0,SUM($D$2:D882),"")</f>
        <v/>
      </c>
      <c r="F882" t="str">
        <f t="shared" si="43"/>
        <v/>
      </c>
      <c r="G882" t="str">
        <f t="shared" si="41"/>
        <v/>
      </c>
    </row>
    <row r="883" spans="1:7" x14ac:dyDescent="0.3">
      <c r="A883">
        <f>IF('Output Report'!$H$71+2&gt;ROW(A882),ROW(A882),0)</f>
        <v>0</v>
      </c>
      <c r="B883" t="str">
        <f>IF(AND(A883&gt;0,A883&lt;='Output Report'!$H$71+1),B882+MC_hist!$M$11/'Output Report'!$H$71,"")</f>
        <v/>
      </c>
      <c r="C883" t="str">
        <f t="shared" si="42"/>
        <v/>
      </c>
      <c r="D883" s="45" t="str">
        <f>IF(A884&gt;0,C883/'Output Report'!$H$70,"")</f>
        <v/>
      </c>
      <c r="E883" s="46" t="str">
        <f>IF(A884&gt;0,SUM($D$2:D883),"")</f>
        <v/>
      </c>
      <c r="F883" t="str">
        <f t="shared" si="43"/>
        <v/>
      </c>
      <c r="G883" t="str">
        <f t="shared" si="41"/>
        <v/>
      </c>
    </row>
    <row r="884" spans="1:7" x14ac:dyDescent="0.3">
      <c r="A884">
        <f>IF('Output Report'!$H$71+2&gt;ROW(A883),ROW(A883),0)</f>
        <v>0</v>
      </c>
      <c r="B884" t="str">
        <f>IF(AND(A884&gt;0,A884&lt;='Output Report'!$H$71+1),B883+MC_hist!$M$11/'Output Report'!$H$71,"")</f>
        <v/>
      </c>
      <c r="C884" t="str">
        <f t="shared" si="42"/>
        <v/>
      </c>
      <c r="D884" s="45" t="str">
        <f>IF(A885&gt;0,C884/'Output Report'!$H$70,"")</f>
        <v/>
      </c>
      <c r="E884" s="46" t="str">
        <f>IF(A885&gt;0,SUM($D$2:D884),"")</f>
        <v/>
      </c>
      <c r="F884" t="str">
        <f t="shared" si="43"/>
        <v/>
      </c>
      <c r="G884" t="str">
        <f t="shared" si="41"/>
        <v/>
      </c>
    </row>
    <row r="885" spans="1:7" x14ac:dyDescent="0.3">
      <c r="A885">
        <f>IF('Output Report'!$H$71+2&gt;ROW(A884),ROW(A884),0)</f>
        <v>0</v>
      </c>
      <c r="B885" t="str">
        <f>IF(AND(A885&gt;0,A885&lt;='Output Report'!$H$71+1),B884+MC_hist!$M$11/'Output Report'!$H$71,"")</f>
        <v/>
      </c>
      <c r="C885" t="str">
        <f t="shared" si="42"/>
        <v/>
      </c>
      <c r="D885" s="45" t="str">
        <f>IF(A886&gt;0,C885/'Output Report'!$H$70,"")</f>
        <v/>
      </c>
      <c r="E885" s="46" t="str">
        <f>IF(A886&gt;0,SUM($D$2:D885),"")</f>
        <v/>
      </c>
      <c r="F885" t="str">
        <f t="shared" si="43"/>
        <v/>
      </c>
      <c r="G885" t="str">
        <f t="shared" si="41"/>
        <v/>
      </c>
    </row>
    <row r="886" spans="1:7" x14ac:dyDescent="0.3">
      <c r="A886">
        <f>IF('Output Report'!$H$71+2&gt;ROW(A885),ROW(A885),0)</f>
        <v>0</v>
      </c>
      <c r="B886" t="str">
        <f>IF(AND(A886&gt;0,A886&lt;='Output Report'!$H$71+1),B885+MC_hist!$M$11/'Output Report'!$H$71,"")</f>
        <v/>
      </c>
      <c r="C886" t="str">
        <f t="shared" si="42"/>
        <v/>
      </c>
      <c r="D886" s="45" t="str">
        <f>IF(A887&gt;0,C886/'Output Report'!$H$70,"")</f>
        <v/>
      </c>
      <c r="E886" s="46" t="str">
        <f>IF(A887&gt;0,SUM($D$2:D886),"")</f>
        <v/>
      </c>
      <c r="F886" t="str">
        <f t="shared" si="43"/>
        <v/>
      </c>
      <c r="G886" t="str">
        <f t="shared" si="41"/>
        <v/>
      </c>
    </row>
    <row r="887" spans="1:7" x14ac:dyDescent="0.3">
      <c r="A887">
        <f>IF('Output Report'!$H$71+2&gt;ROW(A886),ROW(A886),0)</f>
        <v>0</v>
      </c>
      <c r="B887" t="str">
        <f>IF(AND(A887&gt;0,A887&lt;='Output Report'!$H$71+1),B886+MC_hist!$M$11/'Output Report'!$H$71,"")</f>
        <v/>
      </c>
      <c r="C887" t="str">
        <f t="shared" si="42"/>
        <v/>
      </c>
      <c r="D887" s="45" t="str">
        <f>IF(A888&gt;0,C887/'Output Report'!$H$70,"")</f>
        <v/>
      </c>
      <c r="E887" s="46" t="str">
        <f>IF(A888&gt;0,SUM($D$2:D887),"")</f>
        <v/>
      </c>
      <c r="F887" t="str">
        <f t="shared" si="43"/>
        <v/>
      </c>
      <c r="G887" t="str">
        <f t="shared" si="41"/>
        <v/>
      </c>
    </row>
    <row r="888" spans="1:7" x14ac:dyDescent="0.3">
      <c r="A888">
        <f>IF('Output Report'!$H$71+2&gt;ROW(A887),ROW(A887),0)</f>
        <v>0</v>
      </c>
      <c r="B888" t="str">
        <f>IF(AND(A888&gt;0,A888&lt;='Output Report'!$H$71+1),B887+MC_hist!$M$11/'Output Report'!$H$71,"")</f>
        <v/>
      </c>
      <c r="C888" t="str">
        <f t="shared" si="42"/>
        <v/>
      </c>
      <c r="D888" s="45" t="str">
        <f>IF(A889&gt;0,C888/'Output Report'!$H$70,"")</f>
        <v/>
      </c>
      <c r="E888" s="46" t="str">
        <f>IF(A889&gt;0,SUM($D$2:D888),"")</f>
        <v/>
      </c>
      <c r="F888" t="str">
        <f t="shared" si="43"/>
        <v/>
      </c>
      <c r="G888" t="str">
        <f t="shared" si="41"/>
        <v/>
      </c>
    </row>
    <row r="889" spans="1:7" x14ac:dyDescent="0.3">
      <c r="A889">
        <f>IF('Output Report'!$H$71+2&gt;ROW(A888),ROW(A888),0)</f>
        <v>0</v>
      </c>
      <c r="B889" t="str">
        <f>IF(AND(A889&gt;0,A889&lt;='Output Report'!$H$71+1),B888+MC_hist!$M$11/'Output Report'!$H$71,"")</f>
        <v/>
      </c>
      <c r="C889" t="str">
        <f t="shared" si="42"/>
        <v/>
      </c>
      <c r="D889" s="45" t="str">
        <f>IF(A890&gt;0,C889/'Output Report'!$H$70,"")</f>
        <v/>
      </c>
      <c r="E889" s="46" t="str">
        <f>IF(A890&gt;0,SUM($D$2:D889),"")</f>
        <v/>
      </c>
      <c r="F889" t="str">
        <f t="shared" si="43"/>
        <v/>
      </c>
      <c r="G889" t="str">
        <f t="shared" si="41"/>
        <v/>
      </c>
    </row>
    <row r="890" spans="1:7" x14ac:dyDescent="0.3">
      <c r="A890">
        <f>IF('Output Report'!$H$71+2&gt;ROW(A889),ROW(A889),0)</f>
        <v>0</v>
      </c>
      <c r="B890" t="str">
        <f>IF(AND(A890&gt;0,A890&lt;='Output Report'!$H$71+1),B889+MC_hist!$M$11/'Output Report'!$H$71,"")</f>
        <v/>
      </c>
      <c r="C890" t="str">
        <f t="shared" si="42"/>
        <v/>
      </c>
      <c r="D890" s="45" t="str">
        <f>IF(A891&gt;0,C890/'Output Report'!$H$70,"")</f>
        <v/>
      </c>
      <c r="E890" s="46" t="str">
        <f>IF(A891&gt;0,SUM($D$2:D890),"")</f>
        <v/>
      </c>
      <c r="F890" t="str">
        <f t="shared" si="43"/>
        <v/>
      </c>
      <c r="G890" t="str">
        <f t="shared" si="41"/>
        <v/>
      </c>
    </row>
    <row r="891" spans="1:7" x14ac:dyDescent="0.3">
      <c r="A891">
        <f>IF('Output Report'!$H$71+2&gt;ROW(A890),ROW(A890),0)</f>
        <v>0</v>
      </c>
      <c r="B891" t="str">
        <f>IF(AND(A891&gt;0,A891&lt;='Output Report'!$H$71+1),B890+MC_hist!$M$11/'Output Report'!$H$71,"")</f>
        <v/>
      </c>
      <c r="C891" t="str">
        <f t="shared" si="42"/>
        <v/>
      </c>
      <c r="D891" s="45" t="str">
        <f>IF(A892&gt;0,C891/'Output Report'!$H$70,"")</f>
        <v/>
      </c>
      <c r="E891" s="46" t="str">
        <f>IF(A892&gt;0,SUM($D$2:D891),"")</f>
        <v/>
      </c>
      <c r="F891" t="str">
        <f t="shared" si="43"/>
        <v/>
      </c>
      <c r="G891" t="str">
        <f t="shared" si="41"/>
        <v/>
      </c>
    </row>
    <row r="892" spans="1:7" x14ac:dyDescent="0.3">
      <c r="A892">
        <f>IF('Output Report'!$H$71+2&gt;ROW(A891),ROW(A891),0)</f>
        <v>0</v>
      </c>
      <c r="B892" t="str">
        <f>IF(AND(A892&gt;0,A892&lt;='Output Report'!$H$71+1),B891+MC_hist!$M$11/'Output Report'!$H$71,"")</f>
        <v/>
      </c>
      <c r="C892" t="str">
        <f t="shared" si="42"/>
        <v/>
      </c>
      <c r="D892" s="45" t="str">
        <f>IF(A893&gt;0,C892/'Output Report'!$H$70,"")</f>
        <v/>
      </c>
      <c r="E892" s="46" t="str">
        <f>IF(A893&gt;0,SUM($D$2:D892),"")</f>
        <v/>
      </c>
      <c r="F892" t="str">
        <f t="shared" si="43"/>
        <v/>
      </c>
      <c r="G892" t="str">
        <f t="shared" si="41"/>
        <v/>
      </c>
    </row>
    <row r="893" spans="1:7" x14ac:dyDescent="0.3">
      <c r="A893">
        <f>IF('Output Report'!$H$71+2&gt;ROW(A892),ROW(A892),0)</f>
        <v>0</v>
      </c>
      <c r="B893" t="str">
        <f>IF(AND(A893&gt;0,A893&lt;='Output Report'!$H$71+1),B892+MC_hist!$M$11/'Output Report'!$H$71,"")</f>
        <v/>
      </c>
      <c r="C893" t="str">
        <f t="shared" si="42"/>
        <v/>
      </c>
      <c r="D893" s="45" t="str">
        <f>IF(A894&gt;0,C893/'Output Report'!$H$70,"")</f>
        <v/>
      </c>
      <c r="E893" s="46" t="str">
        <f>IF(A894&gt;0,SUM($D$2:D893),"")</f>
        <v/>
      </c>
      <c r="F893" t="str">
        <f t="shared" si="43"/>
        <v/>
      </c>
      <c r="G893" t="str">
        <f t="shared" si="41"/>
        <v/>
      </c>
    </row>
    <row r="894" spans="1:7" x14ac:dyDescent="0.3">
      <c r="A894">
        <f>IF('Output Report'!$H$71+2&gt;ROW(A893),ROW(A893),0)</f>
        <v>0</v>
      </c>
      <c r="B894" t="str">
        <f>IF(AND(A894&gt;0,A894&lt;='Output Report'!$H$71+1),B893+MC_hist!$M$11/'Output Report'!$H$71,"")</f>
        <v/>
      </c>
      <c r="C894" t="str">
        <f t="shared" si="42"/>
        <v/>
      </c>
      <c r="D894" s="45" t="str">
        <f>IF(A895&gt;0,C894/'Output Report'!$H$70,"")</f>
        <v/>
      </c>
      <c r="E894" s="46" t="str">
        <f>IF(A895&gt;0,SUM($D$2:D894),"")</f>
        <v/>
      </c>
      <c r="F894" t="str">
        <f t="shared" si="43"/>
        <v/>
      </c>
      <c r="G894" t="str">
        <f t="shared" si="41"/>
        <v/>
      </c>
    </row>
    <row r="895" spans="1:7" x14ac:dyDescent="0.3">
      <c r="A895">
        <f>IF('Output Report'!$H$71+2&gt;ROW(A894),ROW(A894),0)</f>
        <v>0</v>
      </c>
      <c r="B895" t="str">
        <f>IF(AND(A895&gt;0,A895&lt;='Output Report'!$H$71+1),B894+MC_hist!$M$11/'Output Report'!$H$71,"")</f>
        <v/>
      </c>
      <c r="C895" t="str">
        <f t="shared" si="42"/>
        <v/>
      </c>
      <c r="D895" s="45" t="str">
        <f>IF(A896&gt;0,C895/'Output Report'!$H$70,"")</f>
        <v/>
      </c>
      <c r="E895" s="46" t="str">
        <f>IF(A896&gt;0,SUM($D$2:D895),"")</f>
        <v/>
      </c>
      <c r="F895" t="str">
        <f t="shared" si="43"/>
        <v/>
      </c>
      <c r="G895" t="str">
        <f t="shared" si="41"/>
        <v/>
      </c>
    </row>
    <row r="896" spans="1:7" x14ac:dyDescent="0.3">
      <c r="A896">
        <f>IF('Output Report'!$H$71+2&gt;ROW(A895),ROW(A895),0)</f>
        <v>0</v>
      </c>
      <c r="B896" t="str">
        <f>IF(AND(A896&gt;0,A896&lt;='Output Report'!$H$71+1),B895+MC_hist!$M$11/'Output Report'!$H$71,"")</f>
        <v/>
      </c>
      <c r="C896" t="str">
        <f t="shared" si="42"/>
        <v/>
      </c>
      <c r="D896" s="45" t="str">
        <f>IF(A897&gt;0,C896/'Output Report'!$H$70,"")</f>
        <v/>
      </c>
      <c r="E896" s="46" t="str">
        <f>IF(A897&gt;0,SUM($D$2:D896),"")</f>
        <v/>
      </c>
      <c r="F896" t="str">
        <f t="shared" si="43"/>
        <v/>
      </c>
      <c r="G896" t="str">
        <f t="shared" si="41"/>
        <v/>
      </c>
    </row>
    <row r="897" spans="1:7" x14ac:dyDescent="0.3">
      <c r="A897">
        <f>IF('Output Report'!$H$71+2&gt;ROW(A896),ROW(A896),0)</f>
        <v>0</v>
      </c>
      <c r="B897" t="str">
        <f>IF(AND(A897&gt;0,A897&lt;='Output Report'!$H$71+1),B896+MC_hist!$M$11/'Output Report'!$H$71,"")</f>
        <v/>
      </c>
      <c r="C897" t="str">
        <f t="shared" si="42"/>
        <v/>
      </c>
      <c r="D897" s="45" t="str">
        <f>IF(A898&gt;0,C897/'Output Report'!$H$70,"")</f>
        <v/>
      </c>
      <c r="E897" s="46" t="str">
        <f>IF(A898&gt;0,SUM($D$2:D897),"")</f>
        <v/>
      </c>
      <c r="F897" t="str">
        <f t="shared" si="43"/>
        <v/>
      </c>
      <c r="G897" t="str">
        <f t="shared" si="41"/>
        <v/>
      </c>
    </row>
    <row r="898" spans="1:7" x14ac:dyDescent="0.3">
      <c r="A898">
        <f>IF('Output Report'!$H$71+2&gt;ROW(A897),ROW(A897),0)</f>
        <v>0</v>
      </c>
      <c r="B898" t="str">
        <f>IF(AND(A898&gt;0,A898&lt;='Output Report'!$H$71+1),B897+MC_hist!$M$11/'Output Report'!$H$71,"")</f>
        <v/>
      </c>
      <c r="C898" t="str">
        <f t="shared" si="42"/>
        <v/>
      </c>
      <c r="D898" s="45" t="str">
        <f>IF(A899&gt;0,C898/'Output Report'!$H$70,"")</f>
        <v/>
      </c>
      <c r="E898" s="46" t="str">
        <f>IF(A899&gt;0,SUM($D$2:D898),"")</f>
        <v/>
      </c>
      <c r="F898" t="str">
        <f t="shared" si="43"/>
        <v/>
      </c>
      <c r="G898" t="str">
        <f t="shared" si="41"/>
        <v/>
      </c>
    </row>
    <row r="899" spans="1:7" x14ac:dyDescent="0.3">
      <c r="A899">
        <f>IF('Output Report'!$H$71+2&gt;ROW(A898),ROW(A898),0)</f>
        <v>0</v>
      </c>
      <c r="B899" t="str">
        <f>IF(AND(A899&gt;0,A899&lt;='Output Report'!$H$71+1),B898+MC_hist!$M$11/'Output Report'!$H$71,"")</f>
        <v/>
      </c>
      <c r="C899" t="str">
        <f t="shared" si="42"/>
        <v/>
      </c>
      <c r="D899" s="45" t="str">
        <f>IF(A900&gt;0,C899/'Output Report'!$H$70,"")</f>
        <v/>
      </c>
      <c r="E899" s="46" t="str">
        <f>IF(A900&gt;0,SUM($D$2:D899),"")</f>
        <v/>
      </c>
      <c r="F899" t="str">
        <f t="shared" si="43"/>
        <v/>
      </c>
      <c r="G899" t="str">
        <f t="shared" ref="G899:G962" si="44">IF(B899&lt;=0,E899,"")</f>
        <v/>
      </c>
    </row>
    <row r="900" spans="1:7" x14ac:dyDescent="0.3">
      <c r="A900">
        <f>IF('Output Report'!$H$71+2&gt;ROW(A899),ROW(A899),0)</f>
        <v>0</v>
      </c>
      <c r="B900" t="str">
        <f>IF(AND(A900&gt;0,A900&lt;='Output Report'!$H$71+1),B899+MC_hist!$M$11/'Output Report'!$H$71,"")</f>
        <v/>
      </c>
      <c r="C900" t="str">
        <f t="shared" si="42"/>
        <v/>
      </c>
      <c r="D900" s="45" t="str">
        <f>IF(A901&gt;0,C900/'Output Report'!$H$70,"")</f>
        <v/>
      </c>
      <c r="E900" s="46" t="str">
        <f>IF(A901&gt;0,SUM($D$2:D900),"")</f>
        <v/>
      </c>
      <c r="F900" t="str">
        <f t="shared" si="43"/>
        <v/>
      </c>
      <c r="G900" t="str">
        <f t="shared" si="44"/>
        <v/>
      </c>
    </row>
    <row r="901" spans="1:7" x14ac:dyDescent="0.3">
      <c r="A901">
        <f>IF('Output Report'!$H$71+2&gt;ROW(A900),ROW(A900),0)</f>
        <v>0</v>
      </c>
      <c r="B901" t="str">
        <f>IF(AND(A901&gt;0,A901&lt;='Output Report'!$H$71+1),B900+MC_hist!$M$11/'Output Report'!$H$71,"")</f>
        <v/>
      </c>
      <c r="C901" t="str">
        <f t="shared" si="42"/>
        <v/>
      </c>
      <c r="D901" s="45" t="str">
        <f>IF(A902&gt;0,C901/'Output Report'!$H$70,"")</f>
        <v/>
      </c>
      <c r="E901" s="46" t="str">
        <f>IF(A902&gt;0,SUM($D$2:D901),"")</f>
        <v/>
      </c>
      <c r="F901" t="str">
        <f t="shared" si="43"/>
        <v/>
      </c>
      <c r="G901" t="str">
        <f t="shared" si="44"/>
        <v/>
      </c>
    </row>
    <row r="902" spans="1:7" x14ac:dyDescent="0.3">
      <c r="A902">
        <f>IF('Output Report'!$H$71+2&gt;ROW(A901),ROW(A901),0)</f>
        <v>0</v>
      </c>
      <c r="B902" t="str">
        <f>IF(AND(A902&gt;0,A902&lt;='Output Report'!$H$71+1),B901+MC_hist!$M$11/'Output Report'!$H$71,"")</f>
        <v/>
      </c>
      <c r="C902" t="str">
        <f t="shared" si="42"/>
        <v/>
      </c>
      <c r="D902" s="45" t="str">
        <f>IF(A903&gt;0,C902/'Output Report'!$H$70,"")</f>
        <v/>
      </c>
      <c r="E902" s="46" t="str">
        <f>IF(A903&gt;0,SUM($D$2:D902),"")</f>
        <v/>
      </c>
      <c r="F902" t="str">
        <f t="shared" si="43"/>
        <v/>
      </c>
      <c r="G902" t="str">
        <f t="shared" si="44"/>
        <v/>
      </c>
    </row>
    <row r="903" spans="1:7" x14ac:dyDescent="0.3">
      <c r="A903">
        <f>IF('Output Report'!$H$71+2&gt;ROW(A902),ROW(A902),0)</f>
        <v>0</v>
      </c>
      <c r="B903" t="str">
        <f>IF(AND(A903&gt;0,A903&lt;='Output Report'!$H$71+1),B902+MC_hist!$M$11/'Output Report'!$H$71,"")</f>
        <v/>
      </c>
      <c r="C903" t="str">
        <f t="shared" si="42"/>
        <v/>
      </c>
      <c r="D903" s="45" t="str">
        <f>IF(A904&gt;0,C903/'Output Report'!$H$70,"")</f>
        <v/>
      </c>
      <c r="E903" s="46" t="str">
        <f>IF(A904&gt;0,SUM($D$2:D903),"")</f>
        <v/>
      </c>
      <c r="F903" t="str">
        <f t="shared" si="43"/>
        <v/>
      </c>
      <c r="G903" t="str">
        <f t="shared" si="44"/>
        <v/>
      </c>
    </row>
    <row r="904" spans="1:7" x14ac:dyDescent="0.3">
      <c r="A904">
        <f>IF('Output Report'!$H$71+2&gt;ROW(A903),ROW(A903),0)</f>
        <v>0</v>
      </c>
      <c r="B904" t="str">
        <f>IF(AND(A904&gt;0,A904&lt;='Output Report'!$H$71+1),B903+MC_hist!$M$11/'Output Report'!$H$71,"")</f>
        <v/>
      </c>
      <c r="C904" t="str">
        <f t="shared" si="42"/>
        <v/>
      </c>
      <c r="D904" s="45" t="str">
        <f>IF(A905&gt;0,C904/'Output Report'!$H$70,"")</f>
        <v/>
      </c>
      <c r="E904" s="46" t="str">
        <f>IF(A905&gt;0,SUM($D$2:D904),"")</f>
        <v/>
      </c>
      <c r="F904" t="str">
        <f t="shared" si="43"/>
        <v/>
      </c>
      <c r="G904" t="str">
        <f t="shared" si="44"/>
        <v/>
      </c>
    </row>
    <row r="905" spans="1:7" x14ac:dyDescent="0.3">
      <c r="A905">
        <f>IF('Output Report'!$H$71+2&gt;ROW(A904),ROW(A904),0)</f>
        <v>0</v>
      </c>
      <c r="B905" t="str">
        <f>IF(AND(A905&gt;0,A905&lt;='Output Report'!$H$71+1),B904+MC_hist!$M$11/'Output Report'!$H$71,"")</f>
        <v/>
      </c>
      <c r="C905" t="str">
        <f t="shared" si="42"/>
        <v/>
      </c>
      <c r="D905" s="45" t="str">
        <f>IF(A906&gt;0,C905/'Output Report'!$H$70,"")</f>
        <v/>
      </c>
      <c r="E905" s="46" t="str">
        <f>IF(A906&gt;0,SUM($D$2:D905),"")</f>
        <v/>
      </c>
      <c r="F905" t="str">
        <f t="shared" si="43"/>
        <v/>
      </c>
      <c r="G905" t="str">
        <f t="shared" si="44"/>
        <v/>
      </c>
    </row>
    <row r="906" spans="1:7" x14ac:dyDescent="0.3">
      <c r="A906">
        <f>IF('Output Report'!$H$71+2&gt;ROW(A905),ROW(A905),0)</f>
        <v>0</v>
      </c>
      <c r="B906" t="str">
        <f>IF(AND(A906&gt;0,A906&lt;='Output Report'!$H$71+1),B905+MC_hist!$M$11/'Output Report'!$H$71,"")</f>
        <v/>
      </c>
      <c r="C906" t="str">
        <f t="shared" si="42"/>
        <v/>
      </c>
      <c r="D906" s="45" t="str">
        <f>IF(A907&gt;0,C906/'Output Report'!$H$70,"")</f>
        <v/>
      </c>
      <c r="E906" s="46" t="str">
        <f>IF(A907&gt;0,SUM($D$2:D906),"")</f>
        <v/>
      </c>
      <c r="F906" t="str">
        <f t="shared" si="43"/>
        <v/>
      </c>
      <c r="G906" t="str">
        <f t="shared" si="44"/>
        <v/>
      </c>
    </row>
    <row r="907" spans="1:7" x14ac:dyDescent="0.3">
      <c r="A907">
        <f>IF('Output Report'!$H$71+2&gt;ROW(A906),ROW(A906),0)</f>
        <v>0</v>
      </c>
      <c r="B907" t="str">
        <f>IF(AND(A907&gt;0,A907&lt;='Output Report'!$H$71+1),B906+MC_hist!$M$11/'Output Report'!$H$71,"")</f>
        <v/>
      </c>
      <c r="C907" t="str">
        <f t="shared" si="42"/>
        <v/>
      </c>
      <c r="D907" s="45" t="str">
        <f>IF(A908&gt;0,C907/'Output Report'!$H$70,"")</f>
        <v/>
      </c>
      <c r="E907" s="46" t="str">
        <f>IF(A908&gt;0,SUM($D$2:D907),"")</f>
        <v/>
      </c>
      <c r="F907" t="str">
        <f t="shared" si="43"/>
        <v/>
      </c>
      <c r="G907" t="str">
        <f t="shared" si="44"/>
        <v/>
      </c>
    </row>
    <row r="908" spans="1:7" x14ac:dyDescent="0.3">
      <c r="A908">
        <f>IF('Output Report'!$H$71+2&gt;ROW(A907),ROW(A907),0)</f>
        <v>0</v>
      </c>
      <c r="B908" t="str">
        <f>IF(AND(A908&gt;0,A908&lt;='Output Report'!$H$71+1),B907+MC_hist!$M$11/'Output Report'!$H$71,"")</f>
        <v/>
      </c>
      <c r="C908" t="str">
        <f t="shared" si="42"/>
        <v/>
      </c>
      <c r="D908" s="45" t="str">
        <f>IF(A909&gt;0,C908/'Output Report'!$H$70,"")</f>
        <v/>
      </c>
      <c r="E908" s="46" t="str">
        <f>IF(A909&gt;0,SUM($D$2:D908),"")</f>
        <v/>
      </c>
      <c r="F908" t="str">
        <f t="shared" si="43"/>
        <v/>
      </c>
      <c r="G908" t="str">
        <f t="shared" si="44"/>
        <v/>
      </c>
    </row>
    <row r="909" spans="1:7" x14ac:dyDescent="0.3">
      <c r="A909">
        <f>IF('Output Report'!$H$71+2&gt;ROW(A908),ROW(A908),0)</f>
        <v>0</v>
      </c>
      <c r="B909" t="str">
        <f>IF(AND(A909&gt;0,A909&lt;='Output Report'!$H$71+1),B908+MC_hist!$M$11/'Output Report'!$H$71,"")</f>
        <v/>
      </c>
      <c r="C909" t="str">
        <f t="shared" si="42"/>
        <v/>
      </c>
      <c r="D909" s="45" t="str">
        <f>IF(A910&gt;0,C909/'Output Report'!$H$70,"")</f>
        <v/>
      </c>
      <c r="E909" s="46" t="str">
        <f>IF(A910&gt;0,SUM($D$2:D909),"")</f>
        <v/>
      </c>
      <c r="F909" t="str">
        <f t="shared" si="43"/>
        <v/>
      </c>
      <c r="G909" t="str">
        <f t="shared" si="44"/>
        <v/>
      </c>
    </row>
    <row r="910" spans="1:7" x14ac:dyDescent="0.3">
      <c r="A910">
        <f>IF('Output Report'!$H$71+2&gt;ROW(A909),ROW(A909),0)</f>
        <v>0</v>
      </c>
      <c r="B910" t="str">
        <f>IF(AND(A910&gt;0,A910&lt;='Output Report'!$H$71+1),B909+MC_hist!$M$11/'Output Report'!$H$71,"")</f>
        <v/>
      </c>
      <c r="C910" t="str">
        <f t="shared" si="42"/>
        <v/>
      </c>
      <c r="D910" s="45" t="str">
        <f>IF(A911&gt;0,C910/'Output Report'!$H$70,"")</f>
        <v/>
      </c>
      <c r="E910" s="46" t="str">
        <f>IF(A911&gt;0,SUM($D$2:D910),"")</f>
        <v/>
      </c>
      <c r="F910" t="str">
        <f t="shared" si="43"/>
        <v/>
      </c>
      <c r="G910" t="str">
        <f t="shared" si="44"/>
        <v/>
      </c>
    </row>
    <row r="911" spans="1:7" x14ac:dyDescent="0.3">
      <c r="A911">
        <f>IF('Output Report'!$H$71+2&gt;ROW(A910),ROW(A910),0)</f>
        <v>0</v>
      </c>
      <c r="B911" t="str">
        <f>IF(AND(A911&gt;0,A911&lt;='Output Report'!$H$71+1),B910+MC_hist!$M$11/'Output Report'!$H$71,"")</f>
        <v/>
      </c>
      <c r="C911" t="str">
        <f t="shared" si="42"/>
        <v/>
      </c>
      <c r="D911" s="45" t="str">
        <f>IF(A912&gt;0,C911/'Output Report'!$H$70,"")</f>
        <v/>
      </c>
      <c r="E911" s="46" t="str">
        <f>IF(A912&gt;0,SUM($D$2:D911),"")</f>
        <v/>
      </c>
      <c r="F911" t="str">
        <f t="shared" si="43"/>
        <v/>
      </c>
      <c r="G911" t="str">
        <f t="shared" si="44"/>
        <v/>
      </c>
    </row>
    <row r="912" spans="1:7" x14ac:dyDescent="0.3">
      <c r="A912">
        <f>IF('Output Report'!$H$71+2&gt;ROW(A911),ROW(A911),0)</f>
        <v>0</v>
      </c>
      <c r="B912" t="str">
        <f>IF(AND(A912&gt;0,A912&lt;='Output Report'!$H$71+1),B911+MC_hist!$M$11/'Output Report'!$H$71,"")</f>
        <v/>
      </c>
      <c r="C912" t="str">
        <f t="shared" si="42"/>
        <v/>
      </c>
      <c r="D912" s="45" t="str">
        <f>IF(A913&gt;0,C912/'Output Report'!$H$70,"")</f>
        <v/>
      </c>
      <c r="E912" s="46" t="str">
        <f>IF(A913&gt;0,SUM($D$2:D912),"")</f>
        <v/>
      </c>
      <c r="F912" t="str">
        <f t="shared" si="43"/>
        <v/>
      </c>
      <c r="G912" t="str">
        <f t="shared" si="44"/>
        <v/>
      </c>
    </row>
    <row r="913" spans="1:7" x14ac:dyDescent="0.3">
      <c r="A913">
        <f>IF('Output Report'!$H$71+2&gt;ROW(A912),ROW(A912),0)</f>
        <v>0</v>
      </c>
      <c r="B913" t="str">
        <f>IF(AND(A913&gt;0,A913&lt;='Output Report'!$H$71+1),B912+MC_hist!$M$11/'Output Report'!$H$71,"")</f>
        <v/>
      </c>
      <c r="C913" t="str">
        <f t="shared" si="42"/>
        <v/>
      </c>
      <c r="D913" s="45" t="str">
        <f>IF(A914&gt;0,C913/'Output Report'!$H$70,"")</f>
        <v/>
      </c>
      <c r="E913" s="46" t="str">
        <f>IF(A914&gt;0,SUM($D$2:D913),"")</f>
        <v/>
      </c>
      <c r="F913" t="str">
        <f t="shared" si="43"/>
        <v/>
      </c>
      <c r="G913" t="str">
        <f t="shared" si="44"/>
        <v/>
      </c>
    </row>
    <row r="914" spans="1:7" x14ac:dyDescent="0.3">
      <c r="A914">
        <f>IF('Output Report'!$H$71+2&gt;ROW(A913),ROW(A913),0)</f>
        <v>0</v>
      </c>
      <c r="B914" t="str">
        <f>IF(AND(A914&gt;0,A914&lt;='Output Report'!$H$71+1),B913+MC_hist!$M$11/'Output Report'!$H$71,"")</f>
        <v/>
      </c>
      <c r="C914" t="str">
        <f t="shared" si="42"/>
        <v/>
      </c>
      <c r="D914" s="45" t="str">
        <f>IF(A915&gt;0,C914/'Output Report'!$H$70,"")</f>
        <v/>
      </c>
      <c r="E914" s="46" t="str">
        <f>IF(A915&gt;0,SUM($D$2:D914),"")</f>
        <v/>
      </c>
      <c r="F914" t="str">
        <f t="shared" si="43"/>
        <v/>
      </c>
      <c r="G914" t="str">
        <f t="shared" si="44"/>
        <v/>
      </c>
    </row>
    <row r="915" spans="1:7" x14ac:dyDescent="0.3">
      <c r="A915">
        <f>IF('Output Report'!$H$71+2&gt;ROW(A914),ROW(A914),0)</f>
        <v>0</v>
      </c>
      <c r="B915" t="str">
        <f>IF(AND(A915&gt;0,A915&lt;='Output Report'!$H$71+1),B914+MC_hist!$M$11/'Output Report'!$H$71,"")</f>
        <v/>
      </c>
      <c r="C915" t="str">
        <f t="shared" si="42"/>
        <v/>
      </c>
      <c r="D915" s="45" t="str">
        <f>IF(A916&gt;0,C915/'Output Report'!$H$70,"")</f>
        <v/>
      </c>
      <c r="E915" s="46" t="str">
        <f>IF(A916&gt;0,SUM($D$2:D915),"")</f>
        <v/>
      </c>
      <c r="F915" t="str">
        <f t="shared" si="43"/>
        <v/>
      </c>
      <c r="G915" t="str">
        <f t="shared" si="44"/>
        <v/>
      </c>
    </row>
    <row r="916" spans="1:7" x14ac:dyDescent="0.3">
      <c r="A916">
        <f>IF('Output Report'!$H$71+2&gt;ROW(A915),ROW(A915),0)</f>
        <v>0</v>
      </c>
      <c r="B916" t="str">
        <f>IF(AND(A916&gt;0,A916&lt;='Output Report'!$H$71+1),B915+MC_hist!$M$11/'Output Report'!$H$71,"")</f>
        <v/>
      </c>
      <c r="C916" t="str">
        <f t="shared" si="42"/>
        <v/>
      </c>
      <c r="D916" s="45" t="str">
        <f>IF(A917&gt;0,C916/'Output Report'!$H$70,"")</f>
        <v/>
      </c>
      <c r="E916" s="46" t="str">
        <f>IF(A917&gt;0,SUM($D$2:D916),"")</f>
        <v/>
      </c>
      <c r="F916" t="str">
        <f t="shared" si="43"/>
        <v/>
      </c>
      <c r="G916" t="str">
        <f t="shared" si="44"/>
        <v/>
      </c>
    </row>
    <row r="917" spans="1:7" x14ac:dyDescent="0.3">
      <c r="A917">
        <f>IF('Output Report'!$H$71+2&gt;ROW(A916),ROW(A916),0)</f>
        <v>0</v>
      </c>
      <c r="B917" t="str">
        <f>IF(AND(A917&gt;0,A917&lt;='Output Report'!$H$71+1),B916+MC_hist!$M$11/'Output Report'!$H$71,"")</f>
        <v/>
      </c>
      <c r="C917" t="str">
        <f t="shared" si="42"/>
        <v/>
      </c>
      <c r="D917" s="45" t="str">
        <f>IF(A918&gt;0,C917/'Output Report'!$H$70,"")</f>
        <v/>
      </c>
      <c r="E917" s="46" t="str">
        <f>IF(A918&gt;0,SUM($D$2:D917),"")</f>
        <v/>
      </c>
      <c r="F917" t="str">
        <f t="shared" si="43"/>
        <v/>
      </c>
      <c r="G917" t="str">
        <f t="shared" si="44"/>
        <v/>
      </c>
    </row>
    <row r="918" spans="1:7" x14ac:dyDescent="0.3">
      <c r="A918">
        <f>IF('Output Report'!$H$71+2&gt;ROW(A917),ROW(A917),0)</f>
        <v>0</v>
      </c>
      <c r="B918" t="str">
        <f>IF(AND(A918&gt;0,A918&lt;='Output Report'!$H$71+1),B917+MC_hist!$M$11/'Output Report'!$H$71,"")</f>
        <v/>
      </c>
      <c r="C918" t="str">
        <f t="shared" si="42"/>
        <v/>
      </c>
      <c r="D918" s="45" t="str">
        <f>IF(A919&gt;0,C918/'Output Report'!$H$70,"")</f>
        <v/>
      </c>
      <c r="E918" s="46" t="str">
        <f>IF(A919&gt;0,SUM($D$2:D918),"")</f>
        <v/>
      </c>
      <c r="F918" t="str">
        <f t="shared" si="43"/>
        <v/>
      </c>
      <c r="G918" t="str">
        <f t="shared" si="44"/>
        <v/>
      </c>
    </row>
    <row r="919" spans="1:7" x14ac:dyDescent="0.3">
      <c r="A919">
        <f>IF('Output Report'!$H$71+2&gt;ROW(A918),ROW(A918),0)</f>
        <v>0</v>
      </c>
      <c r="B919" t="str">
        <f>IF(AND(A919&gt;0,A919&lt;='Output Report'!$H$71+1),B918+MC_hist!$M$11/'Output Report'!$H$71,"")</f>
        <v/>
      </c>
      <c r="C919" t="str">
        <f t="shared" si="42"/>
        <v/>
      </c>
      <c r="D919" s="45" t="str">
        <f>IF(A920&gt;0,C919/'Output Report'!$H$70,"")</f>
        <v/>
      </c>
      <c r="E919" s="46" t="str">
        <f>IF(A920&gt;0,SUM($D$2:D919),"")</f>
        <v/>
      </c>
      <c r="F919" t="str">
        <f t="shared" si="43"/>
        <v/>
      </c>
      <c r="G919" t="str">
        <f t="shared" si="44"/>
        <v/>
      </c>
    </row>
    <row r="920" spans="1:7" x14ac:dyDescent="0.3">
      <c r="A920">
        <f>IF('Output Report'!$H$71+2&gt;ROW(A919),ROW(A919),0)</f>
        <v>0</v>
      </c>
      <c r="B920" t="str">
        <f>IF(AND(A920&gt;0,A920&lt;='Output Report'!$H$71+1),B919+MC_hist!$M$11/'Output Report'!$H$71,"")</f>
        <v/>
      </c>
      <c r="C920" t="str">
        <f t="shared" si="42"/>
        <v/>
      </c>
      <c r="D920" s="45" t="str">
        <f>IF(A921&gt;0,C920/'Output Report'!$H$70,"")</f>
        <v/>
      </c>
      <c r="E920" s="46" t="str">
        <f>IF(A921&gt;0,SUM($D$2:D920),"")</f>
        <v/>
      </c>
      <c r="F920" t="str">
        <f t="shared" si="43"/>
        <v/>
      </c>
      <c r="G920" t="str">
        <f t="shared" si="44"/>
        <v/>
      </c>
    </row>
    <row r="921" spans="1:7" x14ac:dyDescent="0.3">
      <c r="A921">
        <f>IF('Output Report'!$H$71+2&gt;ROW(A920),ROW(A920),0)</f>
        <v>0</v>
      </c>
      <c r="B921" t="str">
        <f>IF(AND(A921&gt;0,A921&lt;='Output Report'!$H$71+1),B920+MC_hist!$M$11/'Output Report'!$H$71,"")</f>
        <v/>
      </c>
      <c r="C921" t="str">
        <f t="shared" si="42"/>
        <v/>
      </c>
      <c r="D921" s="45" t="str">
        <f>IF(A922&gt;0,C921/'Output Report'!$H$70,"")</f>
        <v/>
      </c>
      <c r="E921" s="46" t="str">
        <f>IF(A922&gt;0,SUM($D$2:D921),"")</f>
        <v/>
      </c>
      <c r="F921" t="str">
        <f t="shared" si="43"/>
        <v/>
      </c>
      <c r="G921" t="str">
        <f t="shared" si="44"/>
        <v/>
      </c>
    </row>
    <row r="922" spans="1:7" x14ac:dyDescent="0.3">
      <c r="A922">
        <f>IF('Output Report'!$H$71+2&gt;ROW(A921),ROW(A921),0)</f>
        <v>0</v>
      </c>
      <c r="B922" t="str">
        <f>IF(AND(A922&gt;0,A922&lt;='Output Report'!$H$71+1),B921+MC_hist!$M$11/'Output Report'!$H$71,"")</f>
        <v/>
      </c>
      <c r="C922" t="str">
        <f t="shared" si="42"/>
        <v/>
      </c>
      <c r="D922" s="45" t="str">
        <f>IF(A923&gt;0,C922/'Output Report'!$H$70,"")</f>
        <v/>
      </c>
      <c r="E922" s="46" t="str">
        <f>IF(A923&gt;0,SUM($D$2:D922),"")</f>
        <v/>
      </c>
      <c r="F922" t="str">
        <f t="shared" si="43"/>
        <v/>
      </c>
      <c r="G922" t="str">
        <f t="shared" si="44"/>
        <v/>
      </c>
    </row>
    <row r="923" spans="1:7" x14ac:dyDescent="0.3">
      <c r="A923">
        <f>IF('Output Report'!$H$71+2&gt;ROW(A922),ROW(A922),0)</f>
        <v>0</v>
      </c>
      <c r="B923" t="str">
        <f>IF(AND(A923&gt;0,A923&lt;='Output Report'!$H$71+1),B922+MC_hist!$M$11/'Output Report'!$H$71,"")</f>
        <v/>
      </c>
      <c r="C923" t="str">
        <f t="shared" si="42"/>
        <v/>
      </c>
      <c r="D923" s="45" t="str">
        <f>IF(A924&gt;0,C923/'Output Report'!$H$70,"")</f>
        <v/>
      </c>
      <c r="E923" s="46" t="str">
        <f>IF(A924&gt;0,SUM($D$2:D923),"")</f>
        <v/>
      </c>
      <c r="F923" t="str">
        <f t="shared" si="43"/>
        <v/>
      </c>
      <c r="G923" t="str">
        <f t="shared" si="44"/>
        <v/>
      </c>
    </row>
    <row r="924" spans="1:7" x14ac:dyDescent="0.3">
      <c r="A924">
        <f>IF('Output Report'!$H$71+2&gt;ROW(A923),ROW(A923),0)</f>
        <v>0</v>
      </c>
      <c r="B924" t="str">
        <f>IF(AND(A924&gt;0,A924&lt;='Output Report'!$H$71+1),B923+MC_hist!$M$11/'Output Report'!$H$71,"")</f>
        <v/>
      </c>
      <c r="C924" t="str">
        <f t="shared" si="42"/>
        <v/>
      </c>
      <c r="D924" s="45" t="str">
        <f>IF(A925&gt;0,C924/'Output Report'!$H$70,"")</f>
        <v/>
      </c>
      <c r="E924" s="46" t="str">
        <f>IF(A925&gt;0,SUM($D$2:D924),"")</f>
        <v/>
      </c>
      <c r="F924" t="str">
        <f t="shared" si="43"/>
        <v/>
      </c>
      <c r="G924" t="str">
        <f t="shared" si="44"/>
        <v/>
      </c>
    </row>
    <row r="925" spans="1:7" x14ac:dyDescent="0.3">
      <c r="A925">
        <f>IF('Output Report'!$H$71+2&gt;ROW(A924),ROW(A924),0)</f>
        <v>0</v>
      </c>
      <c r="B925" t="str">
        <f>IF(AND(A925&gt;0,A925&lt;='Output Report'!$H$71+1),B924+MC_hist!$M$11/'Output Report'!$H$71,"")</f>
        <v/>
      </c>
      <c r="C925" t="str">
        <f t="shared" si="42"/>
        <v/>
      </c>
      <c r="D925" s="45" t="str">
        <f>IF(A926&gt;0,C925/'Output Report'!$H$70,"")</f>
        <v/>
      </c>
      <c r="E925" s="46" t="str">
        <f>IF(A926&gt;0,SUM($D$2:D925),"")</f>
        <v/>
      </c>
      <c r="F925" t="str">
        <f t="shared" si="43"/>
        <v/>
      </c>
      <c r="G925" t="str">
        <f t="shared" si="44"/>
        <v/>
      </c>
    </row>
    <row r="926" spans="1:7" x14ac:dyDescent="0.3">
      <c r="A926">
        <f>IF('Output Report'!$H$71+2&gt;ROW(A925),ROW(A925),0)</f>
        <v>0</v>
      </c>
      <c r="B926" t="str">
        <f>IF(AND(A926&gt;0,A926&lt;='Output Report'!$H$71+1),B925+MC_hist!$M$11/'Output Report'!$H$71,"")</f>
        <v/>
      </c>
      <c r="C926" t="str">
        <f t="shared" si="42"/>
        <v/>
      </c>
      <c r="D926" s="45" t="str">
        <f>IF(A927&gt;0,C926/'Output Report'!$H$70,"")</f>
        <v/>
      </c>
      <c r="E926" s="46" t="str">
        <f>IF(A927&gt;0,SUM($D$2:D926),"")</f>
        <v/>
      </c>
      <c r="F926" t="str">
        <f t="shared" si="43"/>
        <v/>
      </c>
      <c r="G926" t="str">
        <f t="shared" si="44"/>
        <v/>
      </c>
    </row>
    <row r="927" spans="1:7" x14ac:dyDescent="0.3">
      <c r="A927">
        <f>IF('Output Report'!$H$71+2&gt;ROW(A926),ROW(A926),0)</f>
        <v>0</v>
      </c>
      <c r="B927" t="str">
        <f>IF(AND(A927&gt;0,A927&lt;='Output Report'!$H$71+1),B926+MC_hist!$M$11/'Output Report'!$H$71,"")</f>
        <v/>
      </c>
      <c r="C927" t="str">
        <f t="shared" si="42"/>
        <v/>
      </c>
      <c r="D927" s="45" t="str">
        <f>IF(A928&gt;0,C927/'Output Report'!$H$70,"")</f>
        <v/>
      </c>
      <c r="E927" s="46" t="str">
        <f>IF(A928&gt;0,SUM($D$2:D927),"")</f>
        <v/>
      </c>
      <c r="F927" t="str">
        <f t="shared" si="43"/>
        <v/>
      </c>
      <c r="G927" t="str">
        <f t="shared" si="44"/>
        <v/>
      </c>
    </row>
    <row r="928" spans="1:7" x14ac:dyDescent="0.3">
      <c r="A928">
        <f>IF('Output Report'!$H$71+2&gt;ROW(A927),ROW(A927),0)</f>
        <v>0</v>
      </c>
      <c r="B928" t="str">
        <f>IF(AND(A928&gt;0,A928&lt;='Output Report'!$H$71+1),B927+MC_hist!$M$11/'Output Report'!$H$71,"")</f>
        <v/>
      </c>
      <c r="C928" t="str">
        <f t="shared" si="42"/>
        <v/>
      </c>
      <c r="D928" s="45" t="str">
        <f>IF(A929&gt;0,C928/'Output Report'!$H$70,"")</f>
        <v/>
      </c>
      <c r="E928" s="46" t="str">
        <f>IF(A929&gt;0,SUM($D$2:D928),"")</f>
        <v/>
      </c>
      <c r="F928" t="str">
        <f t="shared" si="43"/>
        <v/>
      </c>
      <c r="G928" t="str">
        <f t="shared" si="44"/>
        <v/>
      </c>
    </row>
    <row r="929" spans="1:7" x14ac:dyDescent="0.3">
      <c r="A929">
        <f>IF('Output Report'!$H$71+2&gt;ROW(A928),ROW(A928),0)</f>
        <v>0</v>
      </c>
      <c r="B929" t="str">
        <f>IF(AND(A929&gt;0,A929&lt;='Output Report'!$H$71+1),B928+MC_hist!$M$11/'Output Report'!$H$71,"")</f>
        <v/>
      </c>
      <c r="C929" t="str">
        <f t="shared" si="42"/>
        <v/>
      </c>
      <c r="D929" s="45" t="str">
        <f>IF(A930&gt;0,C929/'Output Report'!$H$70,"")</f>
        <v/>
      </c>
      <c r="E929" s="46" t="str">
        <f>IF(A930&gt;0,SUM($D$2:D929),"")</f>
        <v/>
      </c>
      <c r="F929" t="str">
        <f t="shared" si="43"/>
        <v/>
      </c>
      <c r="G929" t="str">
        <f t="shared" si="44"/>
        <v/>
      </c>
    </row>
    <row r="930" spans="1:7" x14ac:dyDescent="0.3">
      <c r="A930">
        <f>IF('Output Report'!$H$71+2&gt;ROW(A929),ROW(A929),0)</f>
        <v>0</v>
      </c>
      <c r="B930" t="str">
        <f>IF(AND(A930&gt;0,A930&lt;='Output Report'!$H$71+1),B929+MC_hist!$M$11/'Output Report'!$H$71,"")</f>
        <v/>
      </c>
      <c r="C930" t="str">
        <f t="shared" si="42"/>
        <v/>
      </c>
      <c r="D930" s="45" t="str">
        <f>IF(A931&gt;0,C930/'Output Report'!$H$70,"")</f>
        <v/>
      </c>
      <c r="E930" s="46" t="str">
        <f>IF(A931&gt;0,SUM($D$2:D930),"")</f>
        <v/>
      </c>
      <c r="F930" t="str">
        <f t="shared" si="43"/>
        <v/>
      </c>
      <c r="G930" t="str">
        <f t="shared" si="44"/>
        <v/>
      </c>
    </row>
    <row r="931" spans="1:7" x14ac:dyDescent="0.3">
      <c r="A931">
        <f>IF('Output Report'!$H$71+2&gt;ROW(A930),ROW(A930),0)</f>
        <v>0</v>
      </c>
      <c r="B931" t="str">
        <f>IF(AND(A931&gt;0,A931&lt;='Output Report'!$H$71+1),B930+MC_hist!$M$11/'Output Report'!$H$71,"")</f>
        <v/>
      </c>
      <c r="C931" t="str">
        <f t="shared" si="42"/>
        <v/>
      </c>
      <c r="D931" s="45" t="str">
        <f>IF(A932&gt;0,C931/'Output Report'!$H$70,"")</f>
        <v/>
      </c>
      <c r="E931" s="46" t="str">
        <f>IF(A932&gt;0,SUM($D$2:D931),"")</f>
        <v/>
      </c>
      <c r="F931" t="str">
        <f t="shared" si="43"/>
        <v/>
      </c>
      <c r="G931" t="str">
        <f t="shared" si="44"/>
        <v/>
      </c>
    </row>
    <row r="932" spans="1:7" x14ac:dyDescent="0.3">
      <c r="A932">
        <f>IF('Output Report'!$H$71+2&gt;ROW(A931),ROW(A931),0)</f>
        <v>0</v>
      </c>
      <c r="B932" t="str">
        <f>IF(AND(A932&gt;0,A932&lt;='Output Report'!$H$71+1),B931+MC_hist!$M$11/'Output Report'!$H$71,"")</f>
        <v/>
      </c>
      <c r="C932" t="str">
        <f t="shared" si="42"/>
        <v/>
      </c>
      <c r="D932" s="45" t="str">
        <f>IF(A933&gt;0,C932/'Output Report'!$H$70,"")</f>
        <v/>
      </c>
      <c r="E932" s="46" t="str">
        <f>IF(A933&gt;0,SUM($D$2:D932),"")</f>
        <v/>
      </c>
      <c r="F932" t="str">
        <f t="shared" si="43"/>
        <v/>
      </c>
      <c r="G932" t="str">
        <f t="shared" si="44"/>
        <v/>
      </c>
    </row>
    <row r="933" spans="1:7" x14ac:dyDescent="0.3">
      <c r="A933">
        <f>IF('Output Report'!$H$71+2&gt;ROW(A932),ROW(A932),0)</f>
        <v>0</v>
      </c>
      <c r="B933" t="str">
        <f>IF(AND(A933&gt;0,A933&lt;='Output Report'!$H$71+1),B932+MC_hist!$M$11/'Output Report'!$H$71,"")</f>
        <v/>
      </c>
      <c r="C933" t="str">
        <f t="shared" si="42"/>
        <v/>
      </c>
      <c r="D933" s="45" t="str">
        <f>IF(A934&gt;0,C933/'Output Report'!$H$70,"")</f>
        <v/>
      </c>
      <c r="E933" s="46" t="str">
        <f>IF(A934&gt;0,SUM($D$2:D933),"")</f>
        <v/>
      </c>
      <c r="F933" t="str">
        <f t="shared" si="43"/>
        <v/>
      </c>
      <c r="G933" t="str">
        <f t="shared" si="44"/>
        <v/>
      </c>
    </row>
    <row r="934" spans="1:7" x14ac:dyDescent="0.3">
      <c r="A934">
        <f>IF('Output Report'!$H$71+2&gt;ROW(A933),ROW(A933),0)</f>
        <v>0</v>
      </c>
      <c r="B934" t="str">
        <f>IF(AND(A934&gt;0,A934&lt;='Output Report'!$H$71+1),B933+MC_hist!$M$11/'Output Report'!$H$71,"")</f>
        <v/>
      </c>
      <c r="C934" t="str">
        <f t="shared" si="42"/>
        <v/>
      </c>
      <c r="D934" s="45" t="str">
        <f>IF(A935&gt;0,C934/'Output Report'!$H$70,"")</f>
        <v/>
      </c>
      <c r="E934" s="46" t="str">
        <f>IF(A935&gt;0,SUM($D$2:D934),"")</f>
        <v/>
      </c>
      <c r="F934" t="str">
        <f t="shared" si="43"/>
        <v/>
      </c>
      <c r="G934" t="str">
        <f t="shared" si="44"/>
        <v/>
      </c>
    </row>
    <row r="935" spans="1:7" x14ac:dyDescent="0.3">
      <c r="A935">
        <f>IF('Output Report'!$H$71+2&gt;ROW(A934),ROW(A934),0)</f>
        <v>0</v>
      </c>
      <c r="B935" t="str">
        <f>IF(AND(A935&gt;0,A935&lt;='Output Report'!$H$71+1),B934+MC_hist!$M$11/'Output Report'!$H$71,"")</f>
        <v/>
      </c>
      <c r="C935" t="str">
        <f t="shared" si="42"/>
        <v/>
      </c>
      <c r="D935" s="45" t="str">
        <f>IF(A936&gt;0,C935/'Output Report'!$H$70,"")</f>
        <v/>
      </c>
      <c r="E935" s="46" t="str">
        <f>IF(A936&gt;0,SUM($D$2:D935),"")</f>
        <v/>
      </c>
      <c r="F935" t="str">
        <f t="shared" si="43"/>
        <v/>
      </c>
      <c r="G935" t="str">
        <f t="shared" si="44"/>
        <v/>
      </c>
    </row>
    <row r="936" spans="1:7" x14ac:dyDescent="0.3">
      <c r="A936">
        <f>IF('Output Report'!$H$71+2&gt;ROW(A935),ROW(A935),0)</f>
        <v>0</v>
      </c>
      <c r="B936" t="str">
        <f>IF(AND(A936&gt;0,A936&lt;='Output Report'!$H$71+1),B935+MC_hist!$M$11/'Output Report'!$H$71,"")</f>
        <v/>
      </c>
      <c r="C936" t="str">
        <f t="shared" si="42"/>
        <v/>
      </c>
      <c r="D936" s="45" t="str">
        <f>IF(A937&gt;0,C936/'Output Report'!$H$70,"")</f>
        <v/>
      </c>
      <c r="E936" s="46" t="str">
        <f>IF(A937&gt;0,SUM($D$2:D936),"")</f>
        <v/>
      </c>
      <c r="F936" t="str">
        <f t="shared" si="43"/>
        <v/>
      </c>
      <c r="G936" t="str">
        <f t="shared" si="44"/>
        <v/>
      </c>
    </row>
    <row r="937" spans="1:7" x14ac:dyDescent="0.3">
      <c r="A937">
        <f>IF('Output Report'!$H$71+2&gt;ROW(A936),ROW(A936),0)</f>
        <v>0</v>
      </c>
      <c r="B937" t="str">
        <f>IF(AND(A937&gt;0,A937&lt;='Output Report'!$H$71+1),B936+MC_hist!$M$11/'Output Report'!$H$71,"")</f>
        <v/>
      </c>
      <c r="C937" t="str">
        <f t="shared" si="42"/>
        <v/>
      </c>
      <c r="D937" s="45" t="str">
        <f>IF(A938&gt;0,C937/'Output Report'!$H$70,"")</f>
        <v/>
      </c>
      <c r="E937" s="46" t="str">
        <f>IF(A938&gt;0,SUM($D$2:D937),"")</f>
        <v/>
      </c>
      <c r="F937" t="str">
        <f t="shared" si="43"/>
        <v/>
      </c>
      <c r="G937" t="str">
        <f t="shared" si="44"/>
        <v/>
      </c>
    </row>
    <row r="938" spans="1:7" x14ac:dyDescent="0.3">
      <c r="A938">
        <f>IF('Output Report'!$H$71+2&gt;ROW(A937),ROW(A937),0)</f>
        <v>0</v>
      </c>
      <c r="B938" t="str">
        <f>IF(AND(A938&gt;0,A938&lt;='Output Report'!$H$71+1),B937+MC_hist!$M$11/'Output Report'!$H$71,"")</f>
        <v/>
      </c>
      <c r="C938" t="str">
        <f t="shared" si="42"/>
        <v/>
      </c>
      <c r="D938" s="45" t="str">
        <f>IF(A939&gt;0,C938/'Output Report'!$H$70,"")</f>
        <v/>
      </c>
      <c r="E938" s="46" t="str">
        <f>IF(A939&gt;0,SUM($D$2:D938),"")</f>
        <v/>
      </c>
      <c r="F938" t="str">
        <f t="shared" si="43"/>
        <v/>
      </c>
      <c r="G938" t="str">
        <f t="shared" si="44"/>
        <v/>
      </c>
    </row>
    <row r="939" spans="1:7" x14ac:dyDescent="0.3">
      <c r="A939">
        <f>IF('Output Report'!$H$71+2&gt;ROW(A938),ROW(A938),0)</f>
        <v>0</v>
      </c>
      <c r="B939" t="str">
        <f>IF(AND(A939&gt;0,A939&lt;='Output Report'!$H$71+1),B938+MC_hist!$M$11/'Output Report'!$H$71,"")</f>
        <v/>
      </c>
      <c r="C939" t="str">
        <f t="shared" si="42"/>
        <v/>
      </c>
      <c r="D939" s="45" t="str">
        <f>IF(A940&gt;0,C939/'Output Report'!$H$70,"")</f>
        <v/>
      </c>
      <c r="E939" s="46" t="str">
        <f>IF(A940&gt;0,SUM($D$2:D939),"")</f>
        <v/>
      </c>
      <c r="F939" t="str">
        <f t="shared" si="43"/>
        <v/>
      </c>
      <c r="G939" t="str">
        <f t="shared" si="44"/>
        <v/>
      </c>
    </row>
    <row r="940" spans="1:7" x14ac:dyDescent="0.3">
      <c r="A940">
        <f>IF('Output Report'!$H$71+2&gt;ROW(A939),ROW(A939),0)</f>
        <v>0</v>
      </c>
      <c r="B940" t="str">
        <f>IF(AND(A940&gt;0,A940&lt;='Output Report'!$H$71+1),B939+MC_hist!$M$11/'Output Report'!$H$71,"")</f>
        <v/>
      </c>
      <c r="C940" t="str">
        <f t="shared" si="42"/>
        <v/>
      </c>
      <c r="D940" s="45" t="str">
        <f>IF(A941&gt;0,C940/'Output Report'!$H$70,"")</f>
        <v/>
      </c>
      <c r="E940" s="46" t="str">
        <f>IF(A941&gt;0,SUM($D$2:D940),"")</f>
        <v/>
      </c>
      <c r="F940" t="str">
        <f t="shared" si="43"/>
        <v/>
      </c>
      <c r="G940" t="str">
        <f t="shared" si="44"/>
        <v/>
      </c>
    </row>
    <row r="941" spans="1:7" x14ac:dyDescent="0.3">
      <c r="A941">
        <f>IF('Output Report'!$H$71+2&gt;ROW(A940),ROW(A940),0)</f>
        <v>0</v>
      </c>
      <c r="B941" t="str">
        <f>IF(AND(A941&gt;0,A941&lt;='Output Report'!$H$71+1),B940+MC_hist!$M$11/'Output Report'!$H$71,"")</f>
        <v/>
      </c>
      <c r="C941" t="str">
        <f t="shared" si="42"/>
        <v/>
      </c>
      <c r="D941" s="45" t="str">
        <f>IF(A942&gt;0,C941/'Output Report'!$H$70,"")</f>
        <v/>
      </c>
      <c r="E941" s="46" t="str">
        <f>IF(A942&gt;0,SUM($D$2:D941),"")</f>
        <v/>
      </c>
      <c r="F941" t="str">
        <f t="shared" si="43"/>
        <v/>
      </c>
      <c r="G941" t="str">
        <f t="shared" si="44"/>
        <v/>
      </c>
    </row>
    <row r="942" spans="1:7" x14ac:dyDescent="0.3">
      <c r="A942">
        <f>IF('Output Report'!$H$71+2&gt;ROW(A941),ROW(A941),0)</f>
        <v>0</v>
      </c>
      <c r="B942" t="str">
        <f>IF(AND(A942&gt;0,A942&lt;='Output Report'!$H$71+1),B941+MC_hist!$M$11/'Output Report'!$H$71,"")</f>
        <v/>
      </c>
      <c r="C942" t="str">
        <f t="shared" ref="C942:C1001" si="45">IF(A943&gt;0,COUNTIFS(data_sim,"&gt;"&amp;B942,data_sim,"&lt;="&amp;B943),"")</f>
        <v/>
      </c>
      <c r="D942" s="45" t="str">
        <f>IF(A943&gt;0,C942/'Output Report'!$H$70,"")</f>
        <v/>
      </c>
      <c r="E942" s="46" t="str">
        <f>IF(A943&gt;0,SUM($D$2:D942),"")</f>
        <v/>
      </c>
      <c r="F942" t="str">
        <f t="shared" ref="F942:F1001" si="46">IF(B942&lt;=0,D942,"")</f>
        <v/>
      </c>
      <c r="G942" t="str">
        <f t="shared" si="44"/>
        <v/>
      </c>
    </row>
    <row r="943" spans="1:7" x14ac:dyDescent="0.3">
      <c r="A943">
        <f>IF('Output Report'!$H$71+2&gt;ROW(A942),ROW(A942),0)</f>
        <v>0</v>
      </c>
      <c r="B943" t="str">
        <f>IF(AND(A943&gt;0,A943&lt;='Output Report'!$H$71+1),B942+MC_hist!$M$11/'Output Report'!$H$71,"")</f>
        <v/>
      </c>
      <c r="C943" t="str">
        <f t="shared" si="45"/>
        <v/>
      </c>
      <c r="D943" s="45" t="str">
        <f>IF(A944&gt;0,C943/'Output Report'!$H$70,"")</f>
        <v/>
      </c>
      <c r="E943" s="46" t="str">
        <f>IF(A944&gt;0,SUM($D$2:D943),"")</f>
        <v/>
      </c>
      <c r="F943" t="str">
        <f t="shared" si="46"/>
        <v/>
      </c>
      <c r="G943" t="str">
        <f t="shared" si="44"/>
        <v/>
      </c>
    </row>
    <row r="944" spans="1:7" x14ac:dyDescent="0.3">
      <c r="A944">
        <f>IF('Output Report'!$H$71+2&gt;ROW(A943),ROW(A943),0)</f>
        <v>0</v>
      </c>
      <c r="B944" t="str">
        <f>IF(AND(A944&gt;0,A944&lt;='Output Report'!$H$71+1),B943+MC_hist!$M$11/'Output Report'!$H$71,"")</f>
        <v/>
      </c>
      <c r="C944" t="str">
        <f t="shared" si="45"/>
        <v/>
      </c>
      <c r="D944" s="45" t="str">
        <f>IF(A945&gt;0,C944/'Output Report'!$H$70,"")</f>
        <v/>
      </c>
      <c r="E944" s="46" t="str">
        <f>IF(A945&gt;0,SUM($D$2:D944),"")</f>
        <v/>
      </c>
      <c r="F944" t="str">
        <f t="shared" si="46"/>
        <v/>
      </c>
      <c r="G944" t="str">
        <f t="shared" si="44"/>
        <v/>
      </c>
    </row>
    <row r="945" spans="1:7" x14ac:dyDescent="0.3">
      <c r="A945">
        <f>IF('Output Report'!$H$71+2&gt;ROW(A944),ROW(A944),0)</f>
        <v>0</v>
      </c>
      <c r="B945" t="str">
        <f>IF(AND(A945&gt;0,A945&lt;='Output Report'!$H$71+1),B944+MC_hist!$M$11/'Output Report'!$H$71,"")</f>
        <v/>
      </c>
      <c r="C945" t="str">
        <f t="shared" si="45"/>
        <v/>
      </c>
      <c r="D945" s="45" t="str">
        <f>IF(A946&gt;0,C945/'Output Report'!$H$70,"")</f>
        <v/>
      </c>
      <c r="E945" s="46" t="str">
        <f>IF(A946&gt;0,SUM($D$2:D945),"")</f>
        <v/>
      </c>
      <c r="F945" t="str">
        <f t="shared" si="46"/>
        <v/>
      </c>
      <c r="G945" t="str">
        <f t="shared" si="44"/>
        <v/>
      </c>
    </row>
    <row r="946" spans="1:7" x14ac:dyDescent="0.3">
      <c r="A946">
        <f>IF('Output Report'!$H$71+2&gt;ROW(A945),ROW(A945),0)</f>
        <v>0</v>
      </c>
      <c r="B946" t="str">
        <f>IF(AND(A946&gt;0,A946&lt;='Output Report'!$H$71+1),B945+MC_hist!$M$11/'Output Report'!$H$71,"")</f>
        <v/>
      </c>
      <c r="C946" t="str">
        <f t="shared" si="45"/>
        <v/>
      </c>
      <c r="D946" s="45" t="str">
        <f>IF(A947&gt;0,C946/'Output Report'!$H$70,"")</f>
        <v/>
      </c>
      <c r="E946" s="46" t="str">
        <f>IF(A947&gt;0,SUM($D$2:D946),"")</f>
        <v/>
      </c>
      <c r="F946" t="str">
        <f t="shared" si="46"/>
        <v/>
      </c>
      <c r="G946" t="str">
        <f t="shared" si="44"/>
        <v/>
      </c>
    </row>
    <row r="947" spans="1:7" x14ac:dyDescent="0.3">
      <c r="A947">
        <f>IF('Output Report'!$H$71+2&gt;ROW(A946),ROW(A946),0)</f>
        <v>0</v>
      </c>
      <c r="B947" t="str">
        <f>IF(AND(A947&gt;0,A947&lt;='Output Report'!$H$71+1),B946+MC_hist!$M$11/'Output Report'!$H$71,"")</f>
        <v/>
      </c>
      <c r="C947" t="str">
        <f t="shared" si="45"/>
        <v/>
      </c>
      <c r="D947" s="45" t="str">
        <f>IF(A948&gt;0,C947/'Output Report'!$H$70,"")</f>
        <v/>
      </c>
      <c r="E947" s="46" t="str">
        <f>IF(A948&gt;0,SUM($D$2:D947),"")</f>
        <v/>
      </c>
      <c r="F947" t="str">
        <f t="shared" si="46"/>
        <v/>
      </c>
      <c r="G947" t="str">
        <f t="shared" si="44"/>
        <v/>
      </c>
    </row>
    <row r="948" spans="1:7" x14ac:dyDescent="0.3">
      <c r="A948">
        <f>IF('Output Report'!$H$71+2&gt;ROW(A947),ROW(A947),0)</f>
        <v>0</v>
      </c>
      <c r="B948" t="str">
        <f>IF(AND(A948&gt;0,A948&lt;='Output Report'!$H$71+1),B947+MC_hist!$M$11/'Output Report'!$H$71,"")</f>
        <v/>
      </c>
      <c r="C948" t="str">
        <f t="shared" si="45"/>
        <v/>
      </c>
      <c r="D948" s="45" t="str">
        <f>IF(A949&gt;0,C948/'Output Report'!$H$70,"")</f>
        <v/>
      </c>
      <c r="E948" s="46" t="str">
        <f>IF(A949&gt;0,SUM($D$2:D948),"")</f>
        <v/>
      </c>
      <c r="F948" t="str">
        <f t="shared" si="46"/>
        <v/>
      </c>
      <c r="G948" t="str">
        <f t="shared" si="44"/>
        <v/>
      </c>
    </row>
    <row r="949" spans="1:7" x14ac:dyDescent="0.3">
      <c r="A949">
        <f>IF('Output Report'!$H$71+2&gt;ROW(A948),ROW(A948),0)</f>
        <v>0</v>
      </c>
      <c r="B949" t="str">
        <f>IF(AND(A949&gt;0,A949&lt;='Output Report'!$H$71+1),B948+MC_hist!$M$11/'Output Report'!$H$71,"")</f>
        <v/>
      </c>
      <c r="C949" t="str">
        <f t="shared" si="45"/>
        <v/>
      </c>
      <c r="D949" s="45" t="str">
        <f>IF(A950&gt;0,C949/'Output Report'!$H$70,"")</f>
        <v/>
      </c>
      <c r="E949" s="46" t="str">
        <f>IF(A950&gt;0,SUM($D$2:D949),"")</f>
        <v/>
      </c>
      <c r="F949" t="str">
        <f t="shared" si="46"/>
        <v/>
      </c>
      <c r="G949" t="str">
        <f t="shared" si="44"/>
        <v/>
      </c>
    </row>
    <row r="950" spans="1:7" x14ac:dyDescent="0.3">
      <c r="A950">
        <f>IF('Output Report'!$H$71+2&gt;ROW(A949),ROW(A949),0)</f>
        <v>0</v>
      </c>
      <c r="B950" t="str">
        <f>IF(AND(A950&gt;0,A950&lt;='Output Report'!$H$71+1),B949+MC_hist!$M$11/'Output Report'!$H$71,"")</f>
        <v/>
      </c>
      <c r="C950" t="str">
        <f t="shared" si="45"/>
        <v/>
      </c>
      <c r="D950" s="45" t="str">
        <f>IF(A951&gt;0,C950/'Output Report'!$H$70,"")</f>
        <v/>
      </c>
      <c r="E950" s="46" t="str">
        <f>IF(A951&gt;0,SUM($D$2:D950),"")</f>
        <v/>
      </c>
      <c r="F950" t="str">
        <f t="shared" si="46"/>
        <v/>
      </c>
      <c r="G950" t="str">
        <f t="shared" si="44"/>
        <v/>
      </c>
    </row>
    <row r="951" spans="1:7" x14ac:dyDescent="0.3">
      <c r="A951">
        <f>IF('Output Report'!$H$71+2&gt;ROW(A950),ROW(A950),0)</f>
        <v>0</v>
      </c>
      <c r="B951" t="str">
        <f>IF(AND(A951&gt;0,A951&lt;='Output Report'!$H$71+1),B950+MC_hist!$M$11/'Output Report'!$H$71,"")</f>
        <v/>
      </c>
      <c r="C951" t="str">
        <f t="shared" si="45"/>
        <v/>
      </c>
      <c r="D951" s="45" t="str">
        <f>IF(A952&gt;0,C951/'Output Report'!$H$70,"")</f>
        <v/>
      </c>
      <c r="E951" s="46" t="str">
        <f>IF(A952&gt;0,SUM($D$2:D951),"")</f>
        <v/>
      </c>
      <c r="F951" t="str">
        <f t="shared" si="46"/>
        <v/>
      </c>
      <c r="G951" t="str">
        <f t="shared" si="44"/>
        <v/>
      </c>
    </row>
    <row r="952" spans="1:7" x14ac:dyDescent="0.3">
      <c r="A952">
        <f>IF('Output Report'!$H$71+2&gt;ROW(A951),ROW(A951),0)</f>
        <v>0</v>
      </c>
      <c r="B952" t="str">
        <f>IF(AND(A952&gt;0,A952&lt;='Output Report'!$H$71+1),B951+MC_hist!$M$11/'Output Report'!$H$71,"")</f>
        <v/>
      </c>
      <c r="C952" t="str">
        <f t="shared" si="45"/>
        <v/>
      </c>
      <c r="D952" s="45" t="str">
        <f>IF(A953&gt;0,C952/'Output Report'!$H$70,"")</f>
        <v/>
      </c>
      <c r="E952" s="46" t="str">
        <f>IF(A953&gt;0,SUM($D$2:D952),"")</f>
        <v/>
      </c>
      <c r="F952" t="str">
        <f t="shared" si="46"/>
        <v/>
      </c>
      <c r="G952" t="str">
        <f t="shared" si="44"/>
        <v/>
      </c>
    </row>
    <row r="953" spans="1:7" x14ac:dyDescent="0.3">
      <c r="A953">
        <f>IF('Output Report'!$H$71+2&gt;ROW(A952),ROW(A952),0)</f>
        <v>0</v>
      </c>
      <c r="B953" t="str">
        <f>IF(AND(A953&gt;0,A953&lt;='Output Report'!$H$71+1),B952+MC_hist!$M$11/'Output Report'!$H$71,"")</f>
        <v/>
      </c>
      <c r="C953" t="str">
        <f t="shared" si="45"/>
        <v/>
      </c>
      <c r="D953" s="45" t="str">
        <f>IF(A954&gt;0,C953/'Output Report'!$H$70,"")</f>
        <v/>
      </c>
      <c r="E953" s="46" t="str">
        <f>IF(A954&gt;0,SUM($D$2:D953),"")</f>
        <v/>
      </c>
      <c r="F953" t="str">
        <f t="shared" si="46"/>
        <v/>
      </c>
      <c r="G953" t="str">
        <f t="shared" si="44"/>
        <v/>
      </c>
    </row>
    <row r="954" spans="1:7" x14ac:dyDescent="0.3">
      <c r="A954">
        <f>IF('Output Report'!$H$71+2&gt;ROW(A953),ROW(A953),0)</f>
        <v>0</v>
      </c>
      <c r="B954" t="str">
        <f>IF(AND(A954&gt;0,A954&lt;='Output Report'!$H$71+1),B953+MC_hist!$M$11/'Output Report'!$H$71,"")</f>
        <v/>
      </c>
      <c r="C954" t="str">
        <f t="shared" si="45"/>
        <v/>
      </c>
      <c r="D954" s="45" t="str">
        <f>IF(A955&gt;0,C954/'Output Report'!$H$70,"")</f>
        <v/>
      </c>
      <c r="E954" s="46" t="str">
        <f>IF(A955&gt;0,SUM($D$2:D954),"")</f>
        <v/>
      </c>
      <c r="F954" t="str">
        <f t="shared" si="46"/>
        <v/>
      </c>
      <c r="G954" t="str">
        <f t="shared" si="44"/>
        <v/>
      </c>
    </row>
    <row r="955" spans="1:7" x14ac:dyDescent="0.3">
      <c r="A955">
        <f>IF('Output Report'!$H$71+2&gt;ROW(A954),ROW(A954),0)</f>
        <v>0</v>
      </c>
      <c r="B955" t="str">
        <f>IF(AND(A955&gt;0,A955&lt;='Output Report'!$H$71+1),B954+MC_hist!$M$11/'Output Report'!$H$71,"")</f>
        <v/>
      </c>
      <c r="C955" t="str">
        <f t="shared" si="45"/>
        <v/>
      </c>
      <c r="D955" s="45" t="str">
        <f>IF(A956&gt;0,C955/'Output Report'!$H$70,"")</f>
        <v/>
      </c>
      <c r="E955" s="46" t="str">
        <f>IF(A956&gt;0,SUM($D$2:D955),"")</f>
        <v/>
      </c>
      <c r="F955" t="str">
        <f t="shared" si="46"/>
        <v/>
      </c>
      <c r="G955" t="str">
        <f t="shared" si="44"/>
        <v/>
      </c>
    </row>
    <row r="956" spans="1:7" x14ac:dyDescent="0.3">
      <c r="A956">
        <f>IF('Output Report'!$H$71+2&gt;ROW(A955),ROW(A955),0)</f>
        <v>0</v>
      </c>
      <c r="B956" t="str">
        <f>IF(AND(A956&gt;0,A956&lt;='Output Report'!$H$71+1),B955+MC_hist!$M$11/'Output Report'!$H$71,"")</f>
        <v/>
      </c>
      <c r="C956" t="str">
        <f t="shared" si="45"/>
        <v/>
      </c>
      <c r="D956" s="45" t="str">
        <f>IF(A957&gt;0,C956/'Output Report'!$H$70,"")</f>
        <v/>
      </c>
      <c r="E956" s="46" t="str">
        <f>IF(A957&gt;0,SUM($D$2:D956),"")</f>
        <v/>
      </c>
      <c r="F956" t="str">
        <f t="shared" si="46"/>
        <v/>
      </c>
      <c r="G956" t="str">
        <f t="shared" si="44"/>
        <v/>
      </c>
    </row>
    <row r="957" spans="1:7" x14ac:dyDescent="0.3">
      <c r="A957">
        <f>IF('Output Report'!$H$71+2&gt;ROW(A956),ROW(A956),0)</f>
        <v>0</v>
      </c>
      <c r="B957" t="str">
        <f>IF(AND(A957&gt;0,A957&lt;='Output Report'!$H$71+1),B956+MC_hist!$M$11/'Output Report'!$H$71,"")</f>
        <v/>
      </c>
      <c r="C957" t="str">
        <f t="shared" si="45"/>
        <v/>
      </c>
      <c r="D957" s="45" t="str">
        <f>IF(A958&gt;0,C957/'Output Report'!$H$70,"")</f>
        <v/>
      </c>
      <c r="E957" s="46" t="str">
        <f>IF(A958&gt;0,SUM($D$2:D957),"")</f>
        <v/>
      </c>
      <c r="F957" t="str">
        <f t="shared" si="46"/>
        <v/>
      </c>
      <c r="G957" t="str">
        <f t="shared" si="44"/>
        <v/>
      </c>
    </row>
    <row r="958" spans="1:7" x14ac:dyDescent="0.3">
      <c r="A958">
        <f>IF('Output Report'!$H$71+2&gt;ROW(A957),ROW(A957),0)</f>
        <v>0</v>
      </c>
      <c r="B958" t="str">
        <f>IF(AND(A958&gt;0,A958&lt;='Output Report'!$H$71+1),B957+MC_hist!$M$11/'Output Report'!$H$71,"")</f>
        <v/>
      </c>
      <c r="C958" t="str">
        <f t="shared" si="45"/>
        <v/>
      </c>
      <c r="D958" s="45" t="str">
        <f>IF(A959&gt;0,C958/'Output Report'!$H$70,"")</f>
        <v/>
      </c>
      <c r="E958" s="46" t="str">
        <f>IF(A959&gt;0,SUM($D$2:D958),"")</f>
        <v/>
      </c>
      <c r="F958" t="str">
        <f t="shared" si="46"/>
        <v/>
      </c>
      <c r="G958" t="str">
        <f t="shared" si="44"/>
        <v/>
      </c>
    </row>
    <row r="959" spans="1:7" x14ac:dyDescent="0.3">
      <c r="A959">
        <f>IF('Output Report'!$H$71+2&gt;ROW(A958),ROW(A958),0)</f>
        <v>0</v>
      </c>
      <c r="B959" t="str">
        <f>IF(AND(A959&gt;0,A959&lt;='Output Report'!$H$71+1),B958+MC_hist!$M$11/'Output Report'!$H$71,"")</f>
        <v/>
      </c>
      <c r="C959" t="str">
        <f t="shared" si="45"/>
        <v/>
      </c>
      <c r="D959" s="45" t="str">
        <f>IF(A960&gt;0,C959/'Output Report'!$H$70,"")</f>
        <v/>
      </c>
      <c r="E959" s="46" t="str">
        <f>IF(A960&gt;0,SUM($D$2:D959),"")</f>
        <v/>
      </c>
      <c r="F959" t="str">
        <f t="shared" si="46"/>
        <v/>
      </c>
      <c r="G959" t="str">
        <f t="shared" si="44"/>
        <v/>
      </c>
    </row>
    <row r="960" spans="1:7" x14ac:dyDescent="0.3">
      <c r="A960">
        <f>IF('Output Report'!$H$71+2&gt;ROW(A959),ROW(A959),0)</f>
        <v>0</v>
      </c>
      <c r="B960" t="str">
        <f>IF(AND(A960&gt;0,A960&lt;='Output Report'!$H$71+1),B959+MC_hist!$M$11/'Output Report'!$H$71,"")</f>
        <v/>
      </c>
      <c r="C960" t="str">
        <f t="shared" si="45"/>
        <v/>
      </c>
      <c r="D960" s="45" t="str">
        <f>IF(A961&gt;0,C960/'Output Report'!$H$70,"")</f>
        <v/>
      </c>
      <c r="E960" s="46" t="str">
        <f>IF(A961&gt;0,SUM($D$2:D960),"")</f>
        <v/>
      </c>
      <c r="F960" t="str">
        <f t="shared" si="46"/>
        <v/>
      </c>
      <c r="G960" t="str">
        <f t="shared" si="44"/>
        <v/>
      </c>
    </row>
    <row r="961" spans="1:7" x14ac:dyDescent="0.3">
      <c r="A961">
        <f>IF('Output Report'!$H$71+2&gt;ROW(A960),ROW(A960),0)</f>
        <v>0</v>
      </c>
      <c r="B961" t="str">
        <f>IF(AND(A961&gt;0,A961&lt;='Output Report'!$H$71+1),B960+MC_hist!$M$11/'Output Report'!$H$71,"")</f>
        <v/>
      </c>
      <c r="C961" t="str">
        <f t="shared" si="45"/>
        <v/>
      </c>
      <c r="D961" s="45" t="str">
        <f>IF(A962&gt;0,C961/'Output Report'!$H$70,"")</f>
        <v/>
      </c>
      <c r="E961" s="46" t="str">
        <f>IF(A962&gt;0,SUM($D$2:D961),"")</f>
        <v/>
      </c>
      <c r="F961" t="str">
        <f t="shared" si="46"/>
        <v/>
      </c>
      <c r="G961" t="str">
        <f t="shared" si="44"/>
        <v/>
      </c>
    </row>
    <row r="962" spans="1:7" x14ac:dyDescent="0.3">
      <c r="A962">
        <f>IF('Output Report'!$H$71+2&gt;ROW(A961),ROW(A961),0)</f>
        <v>0</v>
      </c>
      <c r="B962" t="str">
        <f>IF(AND(A962&gt;0,A962&lt;='Output Report'!$H$71+1),B961+MC_hist!$M$11/'Output Report'!$H$71,"")</f>
        <v/>
      </c>
      <c r="C962" t="str">
        <f t="shared" si="45"/>
        <v/>
      </c>
      <c r="D962" s="45" t="str">
        <f>IF(A963&gt;0,C962/'Output Report'!$H$70,"")</f>
        <v/>
      </c>
      <c r="E962" s="46" t="str">
        <f>IF(A963&gt;0,SUM($D$2:D962),"")</f>
        <v/>
      </c>
      <c r="F962" t="str">
        <f t="shared" si="46"/>
        <v/>
      </c>
      <c r="G962" t="str">
        <f t="shared" si="44"/>
        <v/>
      </c>
    </row>
    <row r="963" spans="1:7" x14ac:dyDescent="0.3">
      <c r="A963">
        <f>IF('Output Report'!$H$71+2&gt;ROW(A962),ROW(A962),0)</f>
        <v>0</v>
      </c>
      <c r="B963" t="str">
        <f>IF(AND(A963&gt;0,A963&lt;='Output Report'!$H$71+1),B962+MC_hist!$M$11/'Output Report'!$H$71,"")</f>
        <v/>
      </c>
      <c r="C963" t="str">
        <f t="shared" si="45"/>
        <v/>
      </c>
      <c r="D963" s="45" t="str">
        <f>IF(A964&gt;0,C963/'Output Report'!$H$70,"")</f>
        <v/>
      </c>
      <c r="E963" s="46" t="str">
        <f>IF(A964&gt;0,SUM($D$2:D963),"")</f>
        <v/>
      </c>
      <c r="F963" t="str">
        <f t="shared" si="46"/>
        <v/>
      </c>
      <c r="G963" t="str">
        <f t="shared" ref="G963:G1001" si="47">IF(B963&lt;=0,E963,"")</f>
        <v/>
      </c>
    </row>
    <row r="964" spans="1:7" x14ac:dyDescent="0.3">
      <c r="A964">
        <f>IF('Output Report'!$H$71+2&gt;ROW(A963),ROW(A963),0)</f>
        <v>0</v>
      </c>
      <c r="B964" t="str">
        <f>IF(AND(A964&gt;0,A964&lt;='Output Report'!$H$71+1),B963+MC_hist!$M$11/'Output Report'!$H$71,"")</f>
        <v/>
      </c>
      <c r="C964" t="str">
        <f t="shared" si="45"/>
        <v/>
      </c>
      <c r="D964" s="45" t="str">
        <f>IF(A965&gt;0,C964/'Output Report'!$H$70,"")</f>
        <v/>
      </c>
      <c r="E964" s="46" t="str">
        <f>IF(A965&gt;0,SUM($D$2:D964),"")</f>
        <v/>
      </c>
      <c r="F964" t="str">
        <f t="shared" si="46"/>
        <v/>
      </c>
      <c r="G964" t="str">
        <f t="shared" si="47"/>
        <v/>
      </c>
    </row>
    <row r="965" spans="1:7" x14ac:dyDescent="0.3">
      <c r="A965">
        <f>IF('Output Report'!$H$71+2&gt;ROW(A964),ROW(A964),0)</f>
        <v>0</v>
      </c>
      <c r="B965" t="str">
        <f>IF(AND(A965&gt;0,A965&lt;='Output Report'!$H$71+1),B964+MC_hist!$M$11/'Output Report'!$H$71,"")</f>
        <v/>
      </c>
      <c r="C965" t="str">
        <f t="shared" si="45"/>
        <v/>
      </c>
      <c r="D965" s="45" t="str">
        <f>IF(A966&gt;0,C965/'Output Report'!$H$70,"")</f>
        <v/>
      </c>
      <c r="E965" s="46" t="str">
        <f>IF(A966&gt;0,SUM($D$2:D965),"")</f>
        <v/>
      </c>
      <c r="F965" t="str">
        <f t="shared" si="46"/>
        <v/>
      </c>
      <c r="G965" t="str">
        <f t="shared" si="47"/>
        <v/>
      </c>
    </row>
    <row r="966" spans="1:7" x14ac:dyDescent="0.3">
      <c r="A966">
        <f>IF('Output Report'!$H$71+2&gt;ROW(A965),ROW(A965),0)</f>
        <v>0</v>
      </c>
      <c r="B966" t="str">
        <f>IF(AND(A966&gt;0,A966&lt;='Output Report'!$H$71+1),B965+MC_hist!$M$11/'Output Report'!$H$71,"")</f>
        <v/>
      </c>
      <c r="C966" t="str">
        <f t="shared" si="45"/>
        <v/>
      </c>
      <c r="D966" s="45" t="str">
        <f>IF(A967&gt;0,C966/'Output Report'!$H$70,"")</f>
        <v/>
      </c>
      <c r="E966" s="46" t="str">
        <f>IF(A967&gt;0,SUM($D$2:D966),"")</f>
        <v/>
      </c>
      <c r="F966" t="str">
        <f t="shared" si="46"/>
        <v/>
      </c>
      <c r="G966" t="str">
        <f t="shared" si="47"/>
        <v/>
      </c>
    </row>
    <row r="967" spans="1:7" x14ac:dyDescent="0.3">
      <c r="A967">
        <f>IF('Output Report'!$H$71+2&gt;ROW(A966),ROW(A966),0)</f>
        <v>0</v>
      </c>
      <c r="B967" t="str">
        <f>IF(AND(A967&gt;0,A967&lt;='Output Report'!$H$71+1),B966+MC_hist!$M$11/'Output Report'!$H$71,"")</f>
        <v/>
      </c>
      <c r="C967" t="str">
        <f t="shared" si="45"/>
        <v/>
      </c>
      <c r="D967" s="45" t="str">
        <f>IF(A968&gt;0,C967/'Output Report'!$H$70,"")</f>
        <v/>
      </c>
      <c r="E967" s="46" t="str">
        <f>IF(A968&gt;0,SUM($D$2:D967),"")</f>
        <v/>
      </c>
      <c r="F967" t="str">
        <f t="shared" si="46"/>
        <v/>
      </c>
      <c r="G967" t="str">
        <f t="shared" si="47"/>
        <v/>
      </c>
    </row>
    <row r="968" spans="1:7" x14ac:dyDescent="0.3">
      <c r="A968">
        <f>IF('Output Report'!$H$71+2&gt;ROW(A967),ROW(A967),0)</f>
        <v>0</v>
      </c>
      <c r="B968" t="str">
        <f>IF(AND(A968&gt;0,A968&lt;='Output Report'!$H$71+1),B967+MC_hist!$M$11/'Output Report'!$H$71,"")</f>
        <v/>
      </c>
      <c r="C968" t="str">
        <f t="shared" si="45"/>
        <v/>
      </c>
      <c r="D968" s="45" t="str">
        <f>IF(A969&gt;0,C968/'Output Report'!$H$70,"")</f>
        <v/>
      </c>
      <c r="E968" s="46" t="str">
        <f>IF(A969&gt;0,SUM($D$2:D968),"")</f>
        <v/>
      </c>
      <c r="F968" t="str">
        <f t="shared" si="46"/>
        <v/>
      </c>
      <c r="G968" t="str">
        <f t="shared" si="47"/>
        <v/>
      </c>
    </row>
    <row r="969" spans="1:7" x14ac:dyDescent="0.3">
      <c r="A969">
        <f>IF('Output Report'!$H$71+2&gt;ROW(A968),ROW(A968),0)</f>
        <v>0</v>
      </c>
      <c r="B969" t="str">
        <f>IF(AND(A969&gt;0,A969&lt;='Output Report'!$H$71+1),B968+MC_hist!$M$11/'Output Report'!$H$71,"")</f>
        <v/>
      </c>
      <c r="C969" t="str">
        <f t="shared" si="45"/>
        <v/>
      </c>
      <c r="D969" s="45" t="str">
        <f>IF(A970&gt;0,C969/'Output Report'!$H$70,"")</f>
        <v/>
      </c>
      <c r="E969" s="46" t="str">
        <f>IF(A970&gt;0,SUM($D$2:D969),"")</f>
        <v/>
      </c>
      <c r="F969" t="str">
        <f t="shared" si="46"/>
        <v/>
      </c>
      <c r="G969" t="str">
        <f t="shared" si="47"/>
        <v/>
      </c>
    </row>
    <row r="970" spans="1:7" x14ac:dyDescent="0.3">
      <c r="A970">
        <f>IF('Output Report'!$H$71+2&gt;ROW(A969),ROW(A969),0)</f>
        <v>0</v>
      </c>
      <c r="B970" t="str">
        <f>IF(AND(A970&gt;0,A970&lt;='Output Report'!$H$71+1),B969+MC_hist!$M$11/'Output Report'!$H$71,"")</f>
        <v/>
      </c>
      <c r="C970" t="str">
        <f t="shared" si="45"/>
        <v/>
      </c>
      <c r="D970" s="45" t="str">
        <f>IF(A971&gt;0,C970/'Output Report'!$H$70,"")</f>
        <v/>
      </c>
      <c r="E970" s="46" t="str">
        <f>IF(A971&gt;0,SUM($D$2:D970),"")</f>
        <v/>
      </c>
      <c r="F970" t="str">
        <f t="shared" si="46"/>
        <v/>
      </c>
      <c r="G970" t="str">
        <f t="shared" si="47"/>
        <v/>
      </c>
    </row>
    <row r="971" spans="1:7" x14ac:dyDescent="0.3">
      <c r="A971">
        <f>IF('Output Report'!$H$71+2&gt;ROW(A970),ROW(A970),0)</f>
        <v>0</v>
      </c>
      <c r="B971" t="str">
        <f>IF(AND(A971&gt;0,A971&lt;='Output Report'!$H$71+1),B970+MC_hist!$M$11/'Output Report'!$H$71,"")</f>
        <v/>
      </c>
      <c r="C971" t="str">
        <f t="shared" si="45"/>
        <v/>
      </c>
      <c r="D971" s="45" t="str">
        <f>IF(A972&gt;0,C971/'Output Report'!$H$70,"")</f>
        <v/>
      </c>
      <c r="E971" s="46" t="str">
        <f>IF(A972&gt;0,SUM($D$2:D971),"")</f>
        <v/>
      </c>
      <c r="F971" t="str">
        <f t="shared" si="46"/>
        <v/>
      </c>
      <c r="G971" t="str">
        <f t="shared" si="47"/>
        <v/>
      </c>
    </row>
    <row r="972" spans="1:7" x14ac:dyDescent="0.3">
      <c r="A972">
        <f>IF('Output Report'!$H$71+2&gt;ROW(A971),ROW(A971),0)</f>
        <v>0</v>
      </c>
      <c r="B972" t="str">
        <f>IF(AND(A972&gt;0,A972&lt;='Output Report'!$H$71+1),B971+MC_hist!$M$11/'Output Report'!$H$71,"")</f>
        <v/>
      </c>
      <c r="C972" t="str">
        <f t="shared" si="45"/>
        <v/>
      </c>
      <c r="D972" s="45" t="str">
        <f>IF(A973&gt;0,C972/'Output Report'!$H$70,"")</f>
        <v/>
      </c>
      <c r="E972" s="46" t="str">
        <f>IF(A973&gt;0,SUM($D$2:D972),"")</f>
        <v/>
      </c>
      <c r="F972" t="str">
        <f t="shared" si="46"/>
        <v/>
      </c>
      <c r="G972" t="str">
        <f t="shared" si="47"/>
        <v/>
      </c>
    </row>
    <row r="973" spans="1:7" x14ac:dyDescent="0.3">
      <c r="A973">
        <f>IF('Output Report'!$H$71+2&gt;ROW(A972),ROW(A972),0)</f>
        <v>0</v>
      </c>
      <c r="B973" t="str">
        <f>IF(AND(A973&gt;0,A973&lt;='Output Report'!$H$71+1),B972+MC_hist!$M$11/'Output Report'!$H$71,"")</f>
        <v/>
      </c>
      <c r="C973" t="str">
        <f t="shared" si="45"/>
        <v/>
      </c>
      <c r="D973" s="45" t="str">
        <f>IF(A974&gt;0,C973/'Output Report'!$H$70,"")</f>
        <v/>
      </c>
      <c r="E973" s="46" t="str">
        <f>IF(A974&gt;0,SUM($D$2:D973),"")</f>
        <v/>
      </c>
      <c r="F973" t="str">
        <f t="shared" si="46"/>
        <v/>
      </c>
      <c r="G973" t="str">
        <f t="shared" si="47"/>
        <v/>
      </c>
    </row>
    <row r="974" spans="1:7" x14ac:dyDescent="0.3">
      <c r="A974">
        <f>IF('Output Report'!$H$71+2&gt;ROW(A973),ROW(A973),0)</f>
        <v>0</v>
      </c>
      <c r="B974" t="str">
        <f>IF(AND(A974&gt;0,A974&lt;='Output Report'!$H$71+1),B973+MC_hist!$M$11/'Output Report'!$H$71,"")</f>
        <v/>
      </c>
      <c r="C974" t="str">
        <f t="shared" si="45"/>
        <v/>
      </c>
      <c r="D974" s="45" t="str">
        <f>IF(A975&gt;0,C974/'Output Report'!$H$70,"")</f>
        <v/>
      </c>
      <c r="E974" s="46" t="str">
        <f>IF(A975&gt;0,SUM($D$2:D974),"")</f>
        <v/>
      </c>
      <c r="F974" t="str">
        <f t="shared" si="46"/>
        <v/>
      </c>
      <c r="G974" t="str">
        <f t="shared" si="47"/>
        <v/>
      </c>
    </row>
    <row r="975" spans="1:7" x14ac:dyDescent="0.3">
      <c r="A975">
        <f>IF('Output Report'!$H$71+2&gt;ROW(A974),ROW(A974),0)</f>
        <v>0</v>
      </c>
      <c r="B975" t="str">
        <f>IF(AND(A975&gt;0,A975&lt;='Output Report'!$H$71+1),B974+MC_hist!$M$11/'Output Report'!$H$71,"")</f>
        <v/>
      </c>
      <c r="C975" t="str">
        <f t="shared" si="45"/>
        <v/>
      </c>
      <c r="D975" s="45" t="str">
        <f>IF(A976&gt;0,C975/'Output Report'!$H$70,"")</f>
        <v/>
      </c>
      <c r="E975" s="46" t="str">
        <f>IF(A976&gt;0,SUM($D$2:D975),"")</f>
        <v/>
      </c>
      <c r="F975" t="str">
        <f t="shared" si="46"/>
        <v/>
      </c>
      <c r="G975" t="str">
        <f t="shared" si="47"/>
        <v/>
      </c>
    </row>
    <row r="976" spans="1:7" x14ac:dyDescent="0.3">
      <c r="A976">
        <f>IF('Output Report'!$H$71+2&gt;ROW(A975),ROW(A975),0)</f>
        <v>0</v>
      </c>
      <c r="B976" t="str">
        <f>IF(AND(A976&gt;0,A976&lt;='Output Report'!$H$71+1),B975+MC_hist!$M$11/'Output Report'!$H$71,"")</f>
        <v/>
      </c>
      <c r="C976" t="str">
        <f t="shared" si="45"/>
        <v/>
      </c>
      <c r="D976" s="45" t="str">
        <f>IF(A977&gt;0,C976/'Output Report'!$H$70,"")</f>
        <v/>
      </c>
      <c r="E976" s="46" t="str">
        <f>IF(A977&gt;0,SUM($D$2:D976),"")</f>
        <v/>
      </c>
      <c r="F976" t="str">
        <f t="shared" si="46"/>
        <v/>
      </c>
      <c r="G976" t="str">
        <f t="shared" si="47"/>
        <v/>
      </c>
    </row>
    <row r="977" spans="1:7" x14ac:dyDescent="0.3">
      <c r="A977">
        <f>IF('Output Report'!$H$71+2&gt;ROW(A976),ROW(A976),0)</f>
        <v>0</v>
      </c>
      <c r="B977" t="str">
        <f>IF(AND(A977&gt;0,A977&lt;='Output Report'!$H$71+1),B976+MC_hist!$M$11/'Output Report'!$H$71,"")</f>
        <v/>
      </c>
      <c r="C977" t="str">
        <f t="shared" si="45"/>
        <v/>
      </c>
      <c r="D977" s="45" t="str">
        <f>IF(A978&gt;0,C977/'Output Report'!$H$70,"")</f>
        <v/>
      </c>
      <c r="E977" s="46" t="str">
        <f>IF(A978&gt;0,SUM($D$2:D977),"")</f>
        <v/>
      </c>
      <c r="F977" t="str">
        <f t="shared" si="46"/>
        <v/>
      </c>
      <c r="G977" t="str">
        <f t="shared" si="47"/>
        <v/>
      </c>
    </row>
    <row r="978" spans="1:7" x14ac:dyDescent="0.3">
      <c r="A978">
        <f>IF('Output Report'!$H$71+2&gt;ROW(A977),ROW(A977),0)</f>
        <v>0</v>
      </c>
      <c r="B978" t="str">
        <f>IF(AND(A978&gt;0,A978&lt;='Output Report'!$H$71+1),B977+MC_hist!$M$11/'Output Report'!$H$71,"")</f>
        <v/>
      </c>
      <c r="C978" t="str">
        <f t="shared" si="45"/>
        <v/>
      </c>
      <c r="D978" s="45" t="str">
        <f>IF(A979&gt;0,C978/'Output Report'!$H$70,"")</f>
        <v/>
      </c>
      <c r="E978" s="46" t="str">
        <f>IF(A979&gt;0,SUM($D$2:D978),"")</f>
        <v/>
      </c>
      <c r="F978" t="str">
        <f t="shared" si="46"/>
        <v/>
      </c>
      <c r="G978" t="str">
        <f t="shared" si="47"/>
        <v/>
      </c>
    </row>
    <row r="979" spans="1:7" x14ac:dyDescent="0.3">
      <c r="A979">
        <f>IF('Output Report'!$H$71+2&gt;ROW(A978),ROW(A978),0)</f>
        <v>0</v>
      </c>
      <c r="B979" t="str">
        <f>IF(AND(A979&gt;0,A979&lt;='Output Report'!$H$71+1),B978+MC_hist!$M$11/'Output Report'!$H$71,"")</f>
        <v/>
      </c>
      <c r="C979" t="str">
        <f t="shared" si="45"/>
        <v/>
      </c>
      <c r="D979" s="45" t="str">
        <f>IF(A980&gt;0,C979/'Output Report'!$H$70,"")</f>
        <v/>
      </c>
      <c r="E979" s="46" t="str">
        <f>IF(A980&gt;0,SUM($D$2:D979),"")</f>
        <v/>
      </c>
      <c r="F979" t="str">
        <f t="shared" si="46"/>
        <v/>
      </c>
      <c r="G979" t="str">
        <f t="shared" si="47"/>
        <v/>
      </c>
    </row>
    <row r="980" spans="1:7" x14ac:dyDescent="0.3">
      <c r="A980">
        <f>IF('Output Report'!$H$71+2&gt;ROW(A979),ROW(A979),0)</f>
        <v>0</v>
      </c>
      <c r="B980" t="str">
        <f>IF(AND(A980&gt;0,A980&lt;='Output Report'!$H$71+1),B979+MC_hist!$M$11/'Output Report'!$H$71,"")</f>
        <v/>
      </c>
      <c r="C980" t="str">
        <f t="shared" si="45"/>
        <v/>
      </c>
      <c r="D980" s="45" t="str">
        <f>IF(A981&gt;0,C980/'Output Report'!$H$70,"")</f>
        <v/>
      </c>
      <c r="E980" s="46" t="str">
        <f>IF(A981&gt;0,SUM($D$2:D980),"")</f>
        <v/>
      </c>
      <c r="F980" t="str">
        <f t="shared" si="46"/>
        <v/>
      </c>
      <c r="G980" t="str">
        <f t="shared" si="47"/>
        <v/>
      </c>
    </row>
    <row r="981" spans="1:7" x14ac:dyDescent="0.3">
      <c r="A981">
        <f>IF('Output Report'!$H$71+2&gt;ROW(A980),ROW(A980),0)</f>
        <v>0</v>
      </c>
      <c r="B981" t="str">
        <f>IF(AND(A981&gt;0,A981&lt;='Output Report'!$H$71+1),B980+MC_hist!$M$11/'Output Report'!$H$71,"")</f>
        <v/>
      </c>
      <c r="C981" t="str">
        <f t="shared" si="45"/>
        <v/>
      </c>
      <c r="D981" s="45" t="str">
        <f>IF(A982&gt;0,C981/'Output Report'!$H$70,"")</f>
        <v/>
      </c>
      <c r="E981" s="46" t="str">
        <f>IF(A982&gt;0,SUM($D$2:D981),"")</f>
        <v/>
      </c>
      <c r="F981" t="str">
        <f t="shared" si="46"/>
        <v/>
      </c>
      <c r="G981" t="str">
        <f t="shared" si="47"/>
        <v/>
      </c>
    </row>
    <row r="982" spans="1:7" x14ac:dyDescent="0.3">
      <c r="A982">
        <f>IF('Output Report'!$H$71+2&gt;ROW(A981),ROW(A981),0)</f>
        <v>0</v>
      </c>
      <c r="B982" t="str">
        <f>IF(AND(A982&gt;0,A982&lt;='Output Report'!$H$71+1),B981+MC_hist!$M$11/'Output Report'!$H$71,"")</f>
        <v/>
      </c>
      <c r="C982" t="str">
        <f t="shared" si="45"/>
        <v/>
      </c>
      <c r="D982" s="45" t="str">
        <f>IF(A983&gt;0,C982/'Output Report'!$H$70,"")</f>
        <v/>
      </c>
      <c r="E982" s="46" t="str">
        <f>IF(A983&gt;0,SUM($D$2:D982),"")</f>
        <v/>
      </c>
      <c r="F982" t="str">
        <f t="shared" si="46"/>
        <v/>
      </c>
      <c r="G982" t="str">
        <f t="shared" si="47"/>
        <v/>
      </c>
    </row>
    <row r="983" spans="1:7" x14ac:dyDescent="0.3">
      <c r="A983">
        <f>IF('Output Report'!$H$71+2&gt;ROW(A982),ROW(A982),0)</f>
        <v>0</v>
      </c>
      <c r="B983" t="str">
        <f>IF(AND(A983&gt;0,A983&lt;='Output Report'!$H$71+1),B982+MC_hist!$M$11/'Output Report'!$H$71,"")</f>
        <v/>
      </c>
      <c r="C983" t="str">
        <f t="shared" si="45"/>
        <v/>
      </c>
      <c r="D983" s="45" t="str">
        <f>IF(A984&gt;0,C983/'Output Report'!$H$70,"")</f>
        <v/>
      </c>
      <c r="E983" s="46" t="str">
        <f>IF(A984&gt;0,SUM($D$2:D983),"")</f>
        <v/>
      </c>
      <c r="F983" t="str">
        <f t="shared" si="46"/>
        <v/>
      </c>
      <c r="G983" t="str">
        <f t="shared" si="47"/>
        <v/>
      </c>
    </row>
    <row r="984" spans="1:7" x14ac:dyDescent="0.3">
      <c r="A984">
        <f>IF('Output Report'!$H$71+2&gt;ROW(A983),ROW(A983),0)</f>
        <v>0</v>
      </c>
      <c r="B984" t="str">
        <f>IF(AND(A984&gt;0,A984&lt;='Output Report'!$H$71+1),B983+MC_hist!$M$11/'Output Report'!$H$71,"")</f>
        <v/>
      </c>
      <c r="C984" t="str">
        <f t="shared" si="45"/>
        <v/>
      </c>
      <c r="D984" s="45" t="str">
        <f>IF(A985&gt;0,C984/'Output Report'!$H$70,"")</f>
        <v/>
      </c>
      <c r="E984" s="46" t="str">
        <f>IF(A985&gt;0,SUM($D$2:D984),"")</f>
        <v/>
      </c>
      <c r="F984" t="str">
        <f t="shared" si="46"/>
        <v/>
      </c>
      <c r="G984" t="str">
        <f t="shared" si="47"/>
        <v/>
      </c>
    </row>
    <row r="985" spans="1:7" x14ac:dyDescent="0.3">
      <c r="A985">
        <f>IF('Output Report'!$H$71+2&gt;ROW(A984),ROW(A984),0)</f>
        <v>0</v>
      </c>
      <c r="B985" t="str">
        <f>IF(AND(A985&gt;0,A985&lt;='Output Report'!$H$71+1),B984+MC_hist!$M$11/'Output Report'!$H$71,"")</f>
        <v/>
      </c>
      <c r="C985" t="str">
        <f t="shared" si="45"/>
        <v/>
      </c>
      <c r="D985" s="45" t="str">
        <f>IF(A986&gt;0,C985/'Output Report'!$H$70,"")</f>
        <v/>
      </c>
      <c r="E985" s="46" t="str">
        <f>IF(A986&gt;0,SUM($D$2:D985),"")</f>
        <v/>
      </c>
      <c r="F985" t="str">
        <f t="shared" si="46"/>
        <v/>
      </c>
      <c r="G985" t="str">
        <f t="shared" si="47"/>
        <v/>
      </c>
    </row>
    <row r="986" spans="1:7" x14ac:dyDescent="0.3">
      <c r="A986">
        <f>IF('Output Report'!$H$71+2&gt;ROW(A985),ROW(A985),0)</f>
        <v>0</v>
      </c>
      <c r="B986" t="str">
        <f>IF(AND(A986&gt;0,A986&lt;='Output Report'!$H$71+1),B985+MC_hist!$M$11/'Output Report'!$H$71,"")</f>
        <v/>
      </c>
      <c r="C986" t="str">
        <f t="shared" si="45"/>
        <v/>
      </c>
      <c r="D986" s="45" t="str">
        <f>IF(A987&gt;0,C986/'Output Report'!$H$70,"")</f>
        <v/>
      </c>
      <c r="E986" s="46" t="str">
        <f>IF(A987&gt;0,SUM($D$2:D986),"")</f>
        <v/>
      </c>
      <c r="F986" t="str">
        <f t="shared" si="46"/>
        <v/>
      </c>
      <c r="G986" t="str">
        <f t="shared" si="47"/>
        <v/>
      </c>
    </row>
    <row r="987" spans="1:7" x14ac:dyDescent="0.3">
      <c r="A987">
        <f>IF('Output Report'!$H$71+2&gt;ROW(A986),ROW(A986),0)</f>
        <v>0</v>
      </c>
      <c r="B987" t="str">
        <f>IF(AND(A987&gt;0,A987&lt;='Output Report'!$H$71+1),B986+MC_hist!$M$11/'Output Report'!$H$71,"")</f>
        <v/>
      </c>
      <c r="C987" t="str">
        <f t="shared" si="45"/>
        <v/>
      </c>
      <c r="D987" s="45" t="str">
        <f>IF(A988&gt;0,C987/'Output Report'!$H$70,"")</f>
        <v/>
      </c>
      <c r="E987" s="46" t="str">
        <f>IF(A988&gt;0,SUM($D$2:D987),"")</f>
        <v/>
      </c>
      <c r="F987" t="str">
        <f t="shared" si="46"/>
        <v/>
      </c>
      <c r="G987" t="str">
        <f t="shared" si="47"/>
        <v/>
      </c>
    </row>
    <row r="988" spans="1:7" x14ac:dyDescent="0.3">
      <c r="A988">
        <f>IF('Output Report'!$H$71+2&gt;ROW(A987),ROW(A987),0)</f>
        <v>0</v>
      </c>
      <c r="B988" t="str">
        <f>IF(AND(A988&gt;0,A988&lt;='Output Report'!$H$71+1),B987+MC_hist!$M$11/'Output Report'!$H$71,"")</f>
        <v/>
      </c>
      <c r="C988" t="str">
        <f t="shared" si="45"/>
        <v/>
      </c>
      <c r="D988" s="45" t="str">
        <f>IF(A989&gt;0,C988/'Output Report'!$H$70,"")</f>
        <v/>
      </c>
      <c r="E988" s="46" t="str">
        <f>IF(A989&gt;0,SUM($D$2:D988),"")</f>
        <v/>
      </c>
      <c r="F988" t="str">
        <f t="shared" si="46"/>
        <v/>
      </c>
      <c r="G988" t="str">
        <f t="shared" si="47"/>
        <v/>
      </c>
    </row>
    <row r="989" spans="1:7" x14ac:dyDescent="0.3">
      <c r="A989">
        <f>IF('Output Report'!$H$71+2&gt;ROW(A988),ROW(A988),0)</f>
        <v>0</v>
      </c>
      <c r="B989" t="str">
        <f>IF(AND(A989&gt;0,A989&lt;='Output Report'!$H$71+1),B988+MC_hist!$M$11/'Output Report'!$H$71,"")</f>
        <v/>
      </c>
      <c r="C989" t="str">
        <f t="shared" si="45"/>
        <v/>
      </c>
      <c r="D989" s="45" t="str">
        <f>IF(A990&gt;0,C989/'Output Report'!$H$70,"")</f>
        <v/>
      </c>
      <c r="E989" s="46" t="str">
        <f>IF(A990&gt;0,SUM($D$2:D989),"")</f>
        <v/>
      </c>
      <c r="F989" t="str">
        <f t="shared" si="46"/>
        <v/>
      </c>
      <c r="G989" t="str">
        <f t="shared" si="47"/>
        <v/>
      </c>
    </row>
    <row r="990" spans="1:7" x14ac:dyDescent="0.3">
      <c r="A990">
        <f>IF('Output Report'!$H$71+2&gt;ROW(A989),ROW(A989),0)</f>
        <v>0</v>
      </c>
      <c r="B990" t="str">
        <f>IF(AND(A990&gt;0,A990&lt;='Output Report'!$H$71+1),B989+MC_hist!$M$11/'Output Report'!$H$71,"")</f>
        <v/>
      </c>
      <c r="C990" t="str">
        <f t="shared" si="45"/>
        <v/>
      </c>
      <c r="D990" s="45" t="str">
        <f>IF(A991&gt;0,C990/'Output Report'!$H$70,"")</f>
        <v/>
      </c>
      <c r="E990" s="46" t="str">
        <f>IF(A991&gt;0,SUM($D$2:D990),"")</f>
        <v/>
      </c>
      <c r="F990" t="str">
        <f t="shared" si="46"/>
        <v/>
      </c>
      <c r="G990" t="str">
        <f t="shared" si="47"/>
        <v/>
      </c>
    </row>
    <row r="991" spans="1:7" x14ac:dyDescent="0.3">
      <c r="A991">
        <f>IF('Output Report'!$H$71+2&gt;ROW(A990),ROW(A990),0)</f>
        <v>0</v>
      </c>
      <c r="B991" t="str">
        <f>IF(AND(A991&gt;0,A991&lt;='Output Report'!$H$71+1),B990+MC_hist!$M$11/'Output Report'!$H$71,"")</f>
        <v/>
      </c>
      <c r="C991" t="str">
        <f t="shared" si="45"/>
        <v/>
      </c>
      <c r="D991" s="45" t="str">
        <f>IF(A992&gt;0,C991/'Output Report'!$H$70,"")</f>
        <v/>
      </c>
      <c r="E991" s="46" t="str">
        <f>IF(A992&gt;0,SUM($D$2:D991),"")</f>
        <v/>
      </c>
      <c r="F991" t="str">
        <f t="shared" si="46"/>
        <v/>
      </c>
      <c r="G991" t="str">
        <f t="shared" si="47"/>
        <v/>
      </c>
    </row>
    <row r="992" spans="1:7" x14ac:dyDescent="0.3">
      <c r="A992">
        <f>IF('Output Report'!$H$71+2&gt;ROW(A991),ROW(A991),0)</f>
        <v>0</v>
      </c>
      <c r="B992" t="str">
        <f>IF(AND(A992&gt;0,A992&lt;='Output Report'!$H$71+1),B991+MC_hist!$M$11/'Output Report'!$H$71,"")</f>
        <v/>
      </c>
      <c r="C992" t="str">
        <f t="shared" si="45"/>
        <v/>
      </c>
      <c r="D992" s="45" t="str">
        <f>IF(A993&gt;0,C992/'Output Report'!$H$70,"")</f>
        <v/>
      </c>
      <c r="E992" s="46" t="str">
        <f>IF(A993&gt;0,SUM($D$2:D992),"")</f>
        <v/>
      </c>
      <c r="F992" t="str">
        <f t="shared" si="46"/>
        <v/>
      </c>
      <c r="G992" t="str">
        <f t="shared" si="47"/>
        <v/>
      </c>
    </row>
    <row r="993" spans="1:7" x14ac:dyDescent="0.3">
      <c r="A993">
        <f>IF('Output Report'!$H$71+2&gt;ROW(A992),ROW(A992),0)</f>
        <v>0</v>
      </c>
      <c r="B993" t="str">
        <f>IF(AND(A993&gt;0,A993&lt;='Output Report'!$H$71+1),B992+MC_hist!$M$11/'Output Report'!$H$71,"")</f>
        <v/>
      </c>
      <c r="C993" t="str">
        <f t="shared" si="45"/>
        <v/>
      </c>
      <c r="D993" s="45" t="str">
        <f>IF(A994&gt;0,C993/'Output Report'!$H$70,"")</f>
        <v/>
      </c>
      <c r="E993" s="46" t="str">
        <f>IF(A994&gt;0,SUM($D$2:D993),"")</f>
        <v/>
      </c>
      <c r="F993" t="str">
        <f t="shared" si="46"/>
        <v/>
      </c>
      <c r="G993" t="str">
        <f t="shared" si="47"/>
        <v/>
      </c>
    </row>
    <row r="994" spans="1:7" x14ac:dyDescent="0.3">
      <c r="A994">
        <f>IF('Output Report'!$H$71+2&gt;ROW(A993),ROW(A993),0)</f>
        <v>0</v>
      </c>
      <c r="B994" t="str">
        <f>IF(AND(A994&gt;0,A994&lt;='Output Report'!$H$71+1),B993+MC_hist!$M$11/'Output Report'!$H$71,"")</f>
        <v/>
      </c>
      <c r="C994" t="str">
        <f t="shared" si="45"/>
        <v/>
      </c>
      <c r="D994" s="45" t="str">
        <f>IF(A995&gt;0,C994/'Output Report'!$H$70,"")</f>
        <v/>
      </c>
      <c r="E994" s="46" t="str">
        <f>IF(A995&gt;0,SUM($D$2:D994),"")</f>
        <v/>
      </c>
      <c r="F994" t="str">
        <f t="shared" si="46"/>
        <v/>
      </c>
      <c r="G994" t="str">
        <f t="shared" si="47"/>
        <v/>
      </c>
    </row>
    <row r="995" spans="1:7" x14ac:dyDescent="0.3">
      <c r="A995">
        <f>IF('Output Report'!$H$71+2&gt;ROW(A994),ROW(A994),0)</f>
        <v>0</v>
      </c>
      <c r="B995" t="str">
        <f>IF(AND(A995&gt;0,A995&lt;='Output Report'!$H$71+1),B994+MC_hist!$M$11/'Output Report'!$H$71,"")</f>
        <v/>
      </c>
      <c r="C995" t="str">
        <f t="shared" si="45"/>
        <v/>
      </c>
      <c r="D995" s="45" t="str">
        <f>IF(A996&gt;0,C995/'Output Report'!$H$70,"")</f>
        <v/>
      </c>
      <c r="E995" s="46" t="str">
        <f>IF(A996&gt;0,SUM($D$2:D995),"")</f>
        <v/>
      </c>
      <c r="F995" t="str">
        <f t="shared" si="46"/>
        <v/>
      </c>
      <c r="G995" t="str">
        <f t="shared" si="47"/>
        <v/>
      </c>
    </row>
    <row r="996" spans="1:7" x14ac:dyDescent="0.3">
      <c r="A996">
        <f>IF('Output Report'!$H$71+2&gt;ROW(A995),ROW(A995),0)</f>
        <v>0</v>
      </c>
      <c r="B996" t="str">
        <f>IF(AND(A996&gt;0,A996&lt;='Output Report'!$H$71+1),B995+MC_hist!$M$11/'Output Report'!$H$71,"")</f>
        <v/>
      </c>
      <c r="C996" t="str">
        <f t="shared" si="45"/>
        <v/>
      </c>
      <c r="D996" s="45" t="str">
        <f>IF(A997&gt;0,C996/'Output Report'!$H$70,"")</f>
        <v/>
      </c>
      <c r="E996" s="46" t="str">
        <f>IF(A997&gt;0,SUM($D$2:D996),"")</f>
        <v/>
      </c>
      <c r="F996" t="str">
        <f t="shared" si="46"/>
        <v/>
      </c>
      <c r="G996" t="str">
        <f t="shared" si="47"/>
        <v/>
      </c>
    </row>
    <row r="997" spans="1:7" x14ac:dyDescent="0.3">
      <c r="A997">
        <f>IF('Output Report'!$H$71+2&gt;ROW(A996),ROW(A996),0)</f>
        <v>0</v>
      </c>
      <c r="B997" t="str">
        <f>IF(AND(A997&gt;0,A997&lt;='Output Report'!$H$71+1),B996+MC_hist!$M$11/'Output Report'!$H$71,"")</f>
        <v/>
      </c>
      <c r="C997" t="str">
        <f t="shared" si="45"/>
        <v/>
      </c>
      <c r="D997" s="45" t="str">
        <f>IF(A998&gt;0,C997/'Output Report'!$H$70,"")</f>
        <v/>
      </c>
      <c r="E997" s="46" t="str">
        <f>IF(A998&gt;0,SUM($D$2:D997),"")</f>
        <v/>
      </c>
      <c r="F997" t="str">
        <f t="shared" si="46"/>
        <v/>
      </c>
      <c r="G997" t="str">
        <f t="shared" si="47"/>
        <v/>
      </c>
    </row>
    <row r="998" spans="1:7" x14ac:dyDescent="0.3">
      <c r="A998">
        <f>IF('Output Report'!$H$71+2&gt;ROW(A997),ROW(A997),0)</f>
        <v>0</v>
      </c>
      <c r="B998" t="str">
        <f>IF(AND(A998&gt;0,A998&lt;='Output Report'!$H$71+1),B997+MC_hist!$M$11/'Output Report'!$H$71,"")</f>
        <v/>
      </c>
      <c r="C998" t="str">
        <f t="shared" si="45"/>
        <v/>
      </c>
      <c r="D998" s="45" t="str">
        <f>IF(A999&gt;0,C998/'Output Report'!$H$70,"")</f>
        <v/>
      </c>
      <c r="E998" s="46" t="str">
        <f>IF(A999&gt;0,SUM($D$2:D998),"")</f>
        <v/>
      </c>
      <c r="F998" t="str">
        <f t="shared" si="46"/>
        <v/>
      </c>
      <c r="G998" t="str">
        <f t="shared" si="47"/>
        <v/>
      </c>
    </row>
    <row r="999" spans="1:7" x14ac:dyDescent="0.3">
      <c r="A999">
        <f>IF('Output Report'!$H$71+2&gt;ROW(A998),ROW(A998),0)</f>
        <v>0</v>
      </c>
      <c r="B999" t="str">
        <f>IF(AND(A999&gt;0,A999&lt;='Output Report'!$H$71+1),B998+MC_hist!$M$11/'Output Report'!$H$71,"")</f>
        <v/>
      </c>
      <c r="C999" t="str">
        <f t="shared" si="45"/>
        <v/>
      </c>
      <c r="D999" s="45" t="str">
        <f>IF(A1000&gt;0,C999/'Output Report'!$H$70,"")</f>
        <v/>
      </c>
      <c r="E999" s="46" t="str">
        <f>IF(A1000&gt;0,SUM($D$2:D999),"")</f>
        <v/>
      </c>
      <c r="F999" t="str">
        <f t="shared" si="46"/>
        <v/>
      </c>
      <c r="G999" t="str">
        <f t="shared" si="47"/>
        <v/>
      </c>
    </row>
    <row r="1000" spans="1:7" x14ac:dyDescent="0.3">
      <c r="A1000">
        <f>IF('Output Report'!$H$71+2&gt;ROW(A999),ROW(A999),0)</f>
        <v>0</v>
      </c>
      <c r="B1000" t="str">
        <f>IF(AND(A1000&gt;0,A1000&lt;='Output Report'!$H$71+1),B999+MC_hist!$M$11/'Output Report'!$H$71,"")</f>
        <v/>
      </c>
      <c r="C1000" t="str">
        <f t="shared" si="45"/>
        <v/>
      </c>
      <c r="D1000" s="45" t="str">
        <f>IF(A1001&gt;0,C1000/'Output Report'!$H$70,"")</f>
        <v/>
      </c>
      <c r="E1000" s="46" t="str">
        <f>IF(A1001&gt;0,SUM($D$2:D1000),"")</f>
        <v/>
      </c>
      <c r="F1000" t="str">
        <f t="shared" si="46"/>
        <v/>
      </c>
      <c r="G1000" t="str">
        <f t="shared" si="47"/>
        <v/>
      </c>
    </row>
    <row r="1001" spans="1:7" x14ac:dyDescent="0.3">
      <c r="A1001">
        <f>IF('Output Report'!$H$71+2&gt;ROW(A1000),ROW(A1000),0)</f>
        <v>0</v>
      </c>
      <c r="B1001" t="str">
        <f>IF(AND(A1001&gt;0,A1001&lt;='Output Report'!$H$71+1),B1000+MC_hist!$M$11/'Output Report'!$H$71,"")</f>
        <v/>
      </c>
      <c r="C1001" t="str">
        <f t="shared" si="45"/>
        <v/>
      </c>
      <c r="D1001" s="45" t="str">
        <f>IF(A1002&gt;0,C1001/'Output Report'!$H$70,"")</f>
        <v/>
      </c>
      <c r="E1001" s="46" t="str">
        <f>IF(A1002&gt;0,SUM($D$2:D1001),"")</f>
        <v/>
      </c>
      <c r="F1001" t="str">
        <f t="shared" si="46"/>
        <v/>
      </c>
      <c r="G1001" t="str">
        <f t="shared" si="47"/>
        <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51</vt:i4>
      </vt:variant>
    </vt:vector>
  </HeadingPairs>
  <TitlesOfParts>
    <vt:vector size="60" baseType="lpstr">
      <vt:lpstr>Answers and Instructions</vt:lpstr>
      <vt:lpstr>Output Report</vt:lpstr>
      <vt:lpstr>Inputs</vt:lpstr>
      <vt:lpstr>Model</vt:lpstr>
      <vt:lpstr>sensitivity</vt:lpstr>
      <vt:lpstr>Calculation menu</vt:lpstr>
      <vt:lpstr>MC_data</vt:lpstr>
      <vt:lpstr>MC_fake</vt:lpstr>
      <vt:lpstr>MC_hist</vt:lpstr>
      <vt:lpstr>_f1</vt:lpstr>
      <vt:lpstr>_f2</vt:lpstr>
      <vt:lpstr>_f3</vt:lpstr>
      <vt:lpstr>_f4</vt:lpstr>
      <vt:lpstr>_f5</vt:lpstr>
      <vt:lpstr>break_even_table</vt:lpstr>
      <vt:lpstr>building_time</vt:lpstr>
      <vt:lpstr>CDCF</vt:lpstr>
      <vt:lpstr>CF</vt:lpstr>
      <vt:lpstr>changes</vt:lpstr>
      <vt:lpstr>construction</vt:lpstr>
      <vt:lpstr>data_sim</vt:lpstr>
      <vt:lpstr>DCF</vt:lpstr>
      <vt:lpstr>depr_perc</vt:lpstr>
      <vt:lpstr>depreciation1</vt:lpstr>
      <vt:lpstr>depreciation2</vt:lpstr>
      <vt:lpstr>dpp</vt:lpstr>
      <vt:lpstr>Economic_boom</vt:lpstr>
      <vt:lpstr>ind_selec</vt:lpstr>
      <vt:lpstr>indicators</vt:lpstr>
      <vt:lpstr>inflation_rate</vt:lpstr>
      <vt:lpstr>irr</vt:lpstr>
      <vt:lpstr>iterations</vt:lpstr>
      <vt:lpstr>lifetime</vt:lpstr>
      <vt:lpstr>multi1</vt:lpstr>
      <vt:lpstr>multi2</vt:lpstr>
      <vt:lpstr>multi3</vt:lpstr>
      <vt:lpstr>multi4</vt:lpstr>
      <vt:lpstr>multi5</vt:lpstr>
      <vt:lpstr>nominal_rate</vt:lpstr>
      <vt:lpstr>npv</vt:lpstr>
      <vt:lpstr>period</vt:lpstr>
      <vt:lpstr>pi</vt:lpstr>
      <vt:lpstr>price</vt:lpstr>
      <vt:lpstr>'Output Report'!Print_Area</vt:lpstr>
      <vt:lpstr>quantitiy2</vt:lpstr>
      <vt:lpstr>quantity1</vt:lpstr>
      <vt:lpstr>quantity3</vt:lpstr>
      <vt:lpstr>real_wacc</vt:lpstr>
      <vt:lpstr>scen_chosen</vt:lpstr>
      <vt:lpstr>scen_var</vt:lpstr>
      <vt:lpstr>scenario</vt:lpstr>
      <vt:lpstr>scenarios</vt:lpstr>
      <vt:lpstr>scrap</vt:lpstr>
      <vt:lpstr>sensitivity_factors</vt:lpstr>
      <vt:lpstr>tax_rate</vt:lpstr>
      <vt:lpstr>vr_cost</vt:lpstr>
      <vt:lpstr>wc_1</vt:lpstr>
      <vt:lpstr>wc_2</vt:lpstr>
      <vt:lpstr>wc_3</vt:lpstr>
      <vt:lpstr>years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Matteo</dc:creator>
  <cp:lastModifiedBy>matteo bulleri</cp:lastModifiedBy>
  <cp:lastPrinted>2022-03-19T14:46:35Z</cp:lastPrinted>
  <dcterms:created xsi:type="dcterms:W3CDTF">2022-02-20T08:52:23Z</dcterms:created>
  <dcterms:modified xsi:type="dcterms:W3CDTF">2022-11-10T15:39:15Z</dcterms:modified>
</cp:coreProperties>
</file>